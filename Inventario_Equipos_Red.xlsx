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yectos\quiniela-mundial-2026\"/>
    </mc:Choice>
  </mc:AlternateContent>
  <xr:revisionPtr revIDLastSave="0" documentId="13_ncr:1_{FD82FD5F-F649-441E-9852-94D9ABA2912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venta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15" i="1"/>
  <c r="I14" i="1"/>
  <c r="H14" i="1"/>
  <c r="H13" i="1"/>
  <c r="H12" i="1"/>
  <c r="H11" i="1"/>
  <c r="F22" i="1"/>
  <c r="F20" i="1"/>
  <c r="F18" i="1"/>
  <c r="F15" i="1"/>
  <c r="D18" i="1"/>
  <c r="F3" i="1"/>
  <c r="F4" i="1"/>
  <c r="F7" i="1"/>
  <c r="F8" i="1"/>
  <c r="F9" i="1"/>
  <c r="F10" i="1"/>
  <c r="F11" i="1"/>
  <c r="F12" i="1"/>
  <c r="F13" i="1"/>
  <c r="F14" i="1"/>
  <c r="F2" i="1"/>
  <c r="F19" i="1" l="1"/>
</calcChain>
</file>

<file path=xl/sharedStrings.xml><?xml version="1.0" encoding="utf-8"?>
<sst xmlns="http://schemas.openxmlformats.org/spreadsheetml/2006/main" count="53" uniqueCount="40">
  <si>
    <t>EQUIPO</t>
  </si>
  <si>
    <t>MARCA</t>
  </si>
  <si>
    <t>MODELO</t>
  </si>
  <si>
    <t>CANTIDAD</t>
  </si>
  <si>
    <t>SWITCH</t>
  </si>
  <si>
    <t>CISCO</t>
  </si>
  <si>
    <t>C9300X-24Y-A</t>
  </si>
  <si>
    <t>C1200-24P-4X</t>
  </si>
  <si>
    <t>C1200-48P-4X</t>
  </si>
  <si>
    <t>LICENCIA</t>
  </si>
  <si>
    <t>DNA C9300-DNA-A-24-3Y</t>
  </si>
  <si>
    <t>Network Advantage</t>
  </si>
  <si>
    <t>FIREWALL</t>
  </si>
  <si>
    <t>NETGEAR</t>
  </si>
  <si>
    <t>Netgate Puerta de enlace de seguridad 6100 MAX pfSense+</t>
  </si>
  <si>
    <t>CABLE</t>
  </si>
  <si>
    <t>Catalizador de cable Cisco STACK-T1-3M 3m StackWise-480/1T 3850 C9300 C9300X</t>
  </si>
  <si>
    <t>GTEK</t>
  </si>
  <si>
    <t>10Gtek SFP+ DAC Cable Twinax 10G SFP+ a SFP+</t>
  </si>
  <si>
    <t>TRANSCIVER</t>
  </si>
  <si>
    <t>Cisco GLC-SX-MM-RGD</t>
  </si>
  <si>
    <t>Cisco SFP-10G-SR-S</t>
  </si>
  <si>
    <t>PATCH CORD</t>
  </si>
  <si>
    <t>HENKEL</t>
  </si>
  <si>
    <t>Cable de conexion de fibra LC a LC de 1M</t>
  </si>
  <si>
    <t>PLUGLINE</t>
  </si>
  <si>
    <t>Cable de fibra optica de distribucion interior de 6 fibras, multimodo 50/125 OM3, 10 Gbit, aguamarina, clasificacion</t>
  </si>
  <si>
    <t>CIERRES</t>
  </si>
  <si>
    <t>VELCRO Brand</t>
  </si>
  <si>
    <t>VELCRO Brand ONE-WRAP - Bridas para cables, 100 unidades, correas de organizacion de cable negro de 8 x 1/2</t>
  </si>
  <si>
    <t>TOTAL</t>
  </si>
  <si>
    <t>Precio</t>
  </si>
  <si>
    <t>Total</t>
  </si>
  <si>
    <t>ESTAN INCLUIDAS</t>
  </si>
  <si>
    <t>Tax Aprox</t>
  </si>
  <si>
    <t>CableWholesale Cable de fibra óptica de distribución interior de 6 fibras, multimodo, 50/125 micrones, OM3, 10 Gbit, aguamarina, clasificación elevadora, carrete, 300 mts</t>
  </si>
  <si>
    <t>FIBRA</t>
  </si>
  <si>
    <t>CableWholesale</t>
  </si>
  <si>
    <t>Flete Maritimo Estimado</t>
  </si>
  <si>
    <t>Flete Maritimo Aereo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</si>
</sst>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8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A0A0A"/>
      <name val="Segoe UI"/>
      <family val="2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sz val="10"/>
      <color rgb="FF0F1111"/>
      <name val="Arial"/>
      <family val="2"/>
    </font>
    <font>
      <b/>
      <i/>
      <u val="singleAccounting"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horizontal="right" vertical="center"/>
    </xf>
    <xf numFmtId="168" fontId="5" fillId="0" borderId="0" xfId="0" applyNumberFormat="1" applyFont="1"/>
    <xf numFmtId="0" fontId="5" fillId="0" borderId="0" xfId="0" applyFont="1"/>
    <xf numFmtId="0" fontId="2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8" fontId="6" fillId="0" borderId="2" xfId="0" applyNumberFormat="1" applyFont="1" applyBorder="1"/>
    <xf numFmtId="168" fontId="5" fillId="0" borderId="2" xfId="0" applyNumberFormat="1" applyFont="1" applyBorder="1"/>
    <xf numFmtId="168" fontId="5" fillId="0" borderId="5" xfId="0" applyNumberFormat="1" applyFont="1" applyBorder="1" applyAlignment="1">
      <alignment horizontal="center" vertical="center"/>
    </xf>
    <xf numFmtId="168" fontId="5" fillId="0" borderId="6" xfId="0" applyNumberFormat="1" applyFont="1" applyBorder="1" applyAlignment="1">
      <alignment horizontal="center" vertical="center"/>
    </xf>
    <xf numFmtId="168" fontId="5" fillId="0" borderId="7" xfId="0" applyNumberFormat="1" applyFont="1" applyBorder="1" applyAlignment="1">
      <alignment horizontal="center" vertical="center"/>
    </xf>
    <xf numFmtId="168" fontId="5" fillId="0" borderId="8" xfId="0" applyNumberFormat="1" applyFont="1" applyBorder="1" applyAlignment="1">
      <alignment horizontal="center" vertical="center"/>
    </xf>
    <xf numFmtId="44" fontId="7" fillId="0" borderId="0" xfId="1" applyFont="1"/>
    <xf numFmtId="44" fontId="7" fillId="0" borderId="0" xfId="1" applyFont="1" applyAlignment="1">
      <alignment horizontal="right"/>
    </xf>
    <xf numFmtId="0" fontId="2" fillId="0" borderId="0" xfId="0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44" fontId="7" fillId="0" borderId="2" xfId="1" applyFont="1" applyBorder="1" applyAlignment="1">
      <alignment horizontal="right"/>
    </xf>
    <xf numFmtId="44" fontId="10" fillId="0" borderId="0" xfId="0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"/>
  <sheetViews>
    <sheetView tabSelected="1" workbookViewId="0">
      <pane ySplit="1" topLeftCell="A2" activePane="bottomLeft" state="frozen"/>
      <selection pane="bottomLeft" sqref="A1:F22"/>
    </sheetView>
  </sheetViews>
  <sheetFormatPr defaultRowHeight="15.6" x14ac:dyDescent="0.3"/>
  <cols>
    <col min="1" max="2" width="14" customWidth="1"/>
    <col min="3" max="3" width="70" customWidth="1"/>
    <col min="4" max="4" width="11" customWidth="1"/>
    <col min="5" max="5" width="31.33203125" style="5" customWidth="1"/>
    <col min="6" max="6" width="14.109375" style="6" customWidth="1"/>
  </cols>
  <sheetData>
    <row r="1" spans="1:9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31</v>
      </c>
      <c r="F1" s="9" t="s">
        <v>32</v>
      </c>
    </row>
    <row r="2" spans="1:9" ht="19.2" x14ac:dyDescent="0.45">
      <c r="A2" s="2" t="s">
        <v>4</v>
      </c>
      <c r="B2" s="2" t="s">
        <v>5</v>
      </c>
      <c r="C2" s="3" t="s">
        <v>6</v>
      </c>
      <c r="D2" s="7">
        <v>2</v>
      </c>
      <c r="E2" s="10">
        <v>10277</v>
      </c>
      <c r="F2" s="11">
        <f>+E2*D2</f>
        <v>20554</v>
      </c>
    </row>
    <row r="3" spans="1:9" x14ac:dyDescent="0.3">
      <c r="A3" s="2" t="s">
        <v>4</v>
      </c>
      <c r="B3" s="2" t="s">
        <v>5</v>
      </c>
      <c r="C3" s="3" t="s">
        <v>7</v>
      </c>
      <c r="D3" s="7">
        <v>7</v>
      </c>
      <c r="E3" s="11">
        <v>647</v>
      </c>
      <c r="F3" s="11">
        <f t="shared" ref="F3:F15" si="0">+E3*D3</f>
        <v>4529</v>
      </c>
    </row>
    <row r="4" spans="1:9" x14ac:dyDescent="0.3">
      <c r="A4" s="2" t="s">
        <v>4</v>
      </c>
      <c r="B4" s="2" t="s">
        <v>5</v>
      </c>
      <c r="C4" s="3" t="s">
        <v>8</v>
      </c>
      <c r="D4" s="7">
        <v>9</v>
      </c>
      <c r="E4" s="11">
        <v>1097</v>
      </c>
      <c r="F4" s="11">
        <f t="shared" si="0"/>
        <v>9873</v>
      </c>
    </row>
    <row r="5" spans="1:9" ht="15.6" customHeight="1" x14ac:dyDescent="0.3">
      <c r="A5" s="2" t="s">
        <v>9</v>
      </c>
      <c r="B5" s="2" t="s">
        <v>5</v>
      </c>
      <c r="C5" s="3" t="s">
        <v>10</v>
      </c>
      <c r="D5" s="7">
        <v>2</v>
      </c>
      <c r="E5" s="12" t="s">
        <v>33</v>
      </c>
      <c r="F5" s="13"/>
    </row>
    <row r="6" spans="1:9" ht="15.6" customHeight="1" x14ac:dyDescent="0.3">
      <c r="A6" s="2" t="s">
        <v>9</v>
      </c>
      <c r="B6" s="2" t="s">
        <v>5</v>
      </c>
      <c r="C6" s="3" t="s">
        <v>11</v>
      </c>
      <c r="D6" s="7">
        <v>2</v>
      </c>
      <c r="E6" s="14"/>
      <c r="F6" s="15"/>
    </row>
    <row r="7" spans="1:9" x14ac:dyDescent="0.3">
      <c r="A7" s="2" t="s">
        <v>12</v>
      </c>
      <c r="B7" s="2" t="s">
        <v>13</v>
      </c>
      <c r="C7" s="3" t="s">
        <v>14</v>
      </c>
      <c r="D7" s="7">
        <v>1</v>
      </c>
      <c r="E7" s="11">
        <v>899</v>
      </c>
      <c r="F7" s="11">
        <f t="shared" si="0"/>
        <v>899</v>
      </c>
    </row>
    <row r="8" spans="1:9" ht="26.4" x14ac:dyDescent="0.3">
      <c r="A8" s="2" t="s">
        <v>15</v>
      </c>
      <c r="B8" s="2" t="s">
        <v>5</v>
      </c>
      <c r="C8" s="3" t="s">
        <v>16</v>
      </c>
      <c r="D8" s="7">
        <v>2</v>
      </c>
      <c r="E8" s="11">
        <v>175</v>
      </c>
      <c r="F8" s="11">
        <f t="shared" si="0"/>
        <v>350</v>
      </c>
    </row>
    <row r="9" spans="1:9" x14ac:dyDescent="0.3">
      <c r="A9" s="2" t="s">
        <v>15</v>
      </c>
      <c r="B9" s="2" t="s">
        <v>17</v>
      </c>
      <c r="C9" s="3" t="s">
        <v>18</v>
      </c>
      <c r="D9" s="7">
        <v>4</v>
      </c>
      <c r="E9" s="11">
        <v>12</v>
      </c>
      <c r="F9" s="11">
        <f t="shared" si="0"/>
        <v>48</v>
      </c>
    </row>
    <row r="10" spans="1:9" x14ac:dyDescent="0.3">
      <c r="A10" s="2" t="s">
        <v>19</v>
      </c>
      <c r="B10" s="2" t="s">
        <v>5</v>
      </c>
      <c r="C10" s="3" t="s">
        <v>20</v>
      </c>
      <c r="D10" s="7">
        <v>40</v>
      </c>
      <c r="E10" s="11">
        <v>110</v>
      </c>
      <c r="F10" s="11">
        <f t="shared" si="0"/>
        <v>4400</v>
      </c>
    </row>
    <row r="11" spans="1:9" x14ac:dyDescent="0.3">
      <c r="A11" s="2" t="s">
        <v>19</v>
      </c>
      <c r="B11" s="2" t="s">
        <v>5</v>
      </c>
      <c r="C11" s="3" t="s">
        <v>21</v>
      </c>
      <c r="D11" s="7">
        <v>48</v>
      </c>
      <c r="E11" s="11">
        <v>45</v>
      </c>
      <c r="F11" s="11">
        <f t="shared" si="0"/>
        <v>2160</v>
      </c>
      <c r="H11">
        <f>2*23</f>
        <v>46</v>
      </c>
    </row>
    <row r="12" spans="1:9" x14ac:dyDescent="0.3">
      <c r="A12" s="2" t="s">
        <v>22</v>
      </c>
      <c r="B12" s="2" t="s">
        <v>23</v>
      </c>
      <c r="C12" s="3" t="s">
        <v>24</v>
      </c>
      <c r="D12" s="7">
        <v>100</v>
      </c>
      <c r="E12" s="11">
        <v>6.99</v>
      </c>
      <c r="F12" s="11">
        <f t="shared" si="0"/>
        <v>699</v>
      </c>
      <c r="H12">
        <f>8.11*7</f>
        <v>56.769999999999996</v>
      </c>
    </row>
    <row r="13" spans="1:9" ht="26.4" x14ac:dyDescent="0.3">
      <c r="A13" s="2" t="s">
        <v>15</v>
      </c>
      <c r="B13" s="2" t="s">
        <v>25</v>
      </c>
      <c r="C13" s="3" t="s">
        <v>26</v>
      </c>
      <c r="D13" s="7">
        <v>2</v>
      </c>
      <c r="E13" s="11">
        <v>25</v>
      </c>
      <c r="F13" s="11">
        <f t="shared" si="0"/>
        <v>50</v>
      </c>
      <c r="H13">
        <f>12*9</f>
        <v>108</v>
      </c>
    </row>
    <row r="14" spans="1:9" ht="26.4" x14ac:dyDescent="0.3">
      <c r="A14" s="2" t="s">
        <v>27</v>
      </c>
      <c r="B14" s="2" t="s">
        <v>28</v>
      </c>
      <c r="C14" s="3" t="s">
        <v>29</v>
      </c>
      <c r="D14" s="7">
        <v>15</v>
      </c>
      <c r="E14" s="11">
        <v>23</v>
      </c>
      <c r="F14" s="11">
        <f t="shared" si="0"/>
        <v>345</v>
      </c>
      <c r="H14">
        <f>SUM(H11:H13)</f>
        <v>210.76999999999998</v>
      </c>
      <c r="I14">
        <f>+H14*7</f>
        <v>1475.3899999999999</v>
      </c>
    </row>
    <row r="15" spans="1:9" ht="39.6" x14ac:dyDescent="0.3">
      <c r="A15" s="20" t="s">
        <v>36</v>
      </c>
      <c r="B15" s="21" t="s">
        <v>37</v>
      </c>
      <c r="C15" s="19" t="s">
        <v>35</v>
      </c>
      <c r="D15" s="7">
        <v>4</v>
      </c>
      <c r="E15" s="11">
        <v>367</v>
      </c>
      <c r="F15" s="11">
        <f t="shared" si="0"/>
        <v>1468</v>
      </c>
      <c r="I15">
        <f>140*3</f>
        <v>420</v>
      </c>
    </row>
    <row r="16" spans="1:9" x14ac:dyDescent="0.3">
      <c r="A16" s="18"/>
      <c r="B16" s="18"/>
      <c r="C16" s="3"/>
      <c r="D16" s="7"/>
      <c r="E16" s="11"/>
      <c r="F16" s="11"/>
      <c r="I16">
        <f>SUM(I14:I15)</f>
        <v>1895.3899999999999</v>
      </c>
    </row>
    <row r="17" spans="1:6" x14ac:dyDescent="0.3">
      <c r="A17" s="18"/>
      <c r="B17" s="18"/>
      <c r="C17" s="3"/>
      <c r="D17" s="7"/>
      <c r="E17" s="11"/>
      <c r="F17" s="11"/>
    </row>
    <row r="18" spans="1:6" x14ac:dyDescent="0.3">
      <c r="C18" s="4" t="s">
        <v>30</v>
      </c>
      <c r="D18" s="8">
        <f>SUM(D2:D15)</f>
        <v>238</v>
      </c>
      <c r="E18" s="11"/>
      <c r="F18" s="22">
        <f>SUM(F2:F15)</f>
        <v>45375</v>
      </c>
    </row>
    <row r="19" spans="1:6" x14ac:dyDescent="0.3">
      <c r="E19" s="5" t="s">
        <v>34</v>
      </c>
      <c r="F19" s="17">
        <f>+F18*0.05</f>
        <v>2268.75</v>
      </c>
    </row>
    <row r="20" spans="1:6" x14ac:dyDescent="0.3">
      <c r="E20" s="5" t="s">
        <v>38</v>
      </c>
      <c r="F20" s="17">
        <f>25*30</f>
        <v>750</v>
      </c>
    </row>
    <row r="21" spans="1:6" x14ac:dyDescent="0.3">
      <c r="E21" s="5" t="s">
        <v>39</v>
      </c>
      <c r="F21" s="16">
        <v>2200</v>
      </c>
    </row>
    <row r="22" spans="1:6" ht="17.399999999999999" x14ac:dyDescent="0.45">
      <c r="F22" s="23">
        <f>SUM(F18:F20)</f>
        <v>48393.75</v>
      </c>
    </row>
  </sheetData>
  <mergeCells count="1">
    <mergeCell ref="E5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Paz</cp:lastModifiedBy>
  <dcterms:created xsi:type="dcterms:W3CDTF">2026-06-03T11:49:43Z</dcterms:created>
  <dcterms:modified xsi:type="dcterms:W3CDTF">2026-06-03T18:50:36Z</dcterms:modified>
</cp:coreProperties>
</file>