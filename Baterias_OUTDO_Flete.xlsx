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erias" sheetId="1" state="visible" r:id="rId1"/>
    <sheet xmlns:r="http://schemas.openxmlformats.org/officeDocument/2006/relationships" name="Fle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000"/>
    <numFmt numFmtId="166" formatCode="&quot;$&quot;#,##0.00"/>
    <numFmt numFmtId="167" formatCode="&quot;$&quot;#,##0"/>
    <numFmt numFmtId="168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166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167" fontId="2" fillId="4" borderId="1" applyAlignment="1" pivotButton="0" quotePrefix="0" xfId="0">
      <alignment horizontal="center" vertical="center"/>
    </xf>
    <xf numFmtId="168" fontId="2" fillId="4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8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" customWidth="1" min="3" max="3"/>
    <col width="8" customWidth="1" min="4" max="4"/>
    <col width="7" customWidth="1" min="5" max="5"/>
    <col width="7" customWidth="1" min="6" max="6"/>
    <col width="7" customWidth="1" min="7" max="7"/>
    <col width="10" customWidth="1" min="8" max="8"/>
    <col width="8" customWidth="1" min="9" max="9"/>
    <col width="7" customWidth="1" min="10" max="10"/>
    <col width="9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#</t>
        </is>
      </c>
      <c r="B1" s="1" t="inlineStr">
        <is>
          <t>Modelo</t>
        </is>
      </c>
      <c r="C1" s="1" t="inlineStr">
        <is>
          <t>V</t>
        </is>
      </c>
      <c r="D1" s="1" t="inlineStr">
        <is>
          <t>Cap (Ah)</t>
        </is>
      </c>
      <c r="E1" s="1" t="inlineStr">
        <is>
          <t>L (mm)</t>
        </is>
      </c>
      <c r="F1" s="1" t="inlineStr">
        <is>
          <t>W (mm)</t>
        </is>
      </c>
      <c r="G1" s="1" t="inlineStr">
        <is>
          <t>H (mm)</t>
        </is>
      </c>
      <c r="H1" s="1" t="inlineStr">
        <is>
          <t>Peso/u (kg)</t>
        </is>
      </c>
      <c r="I1" s="1" t="inlineStr">
        <is>
          <t>Qty/CTN</t>
        </is>
      </c>
      <c r="J1" s="1" t="inlineStr">
        <is>
          <t>Cajas</t>
        </is>
      </c>
      <c r="K1" s="1" t="inlineStr">
        <is>
          <t>Cant (pcs)</t>
        </is>
      </c>
      <c r="L1" s="1" t="inlineStr">
        <is>
          <t>Peso Tot (kg)</t>
        </is>
      </c>
      <c r="M1" s="1" t="inlineStr">
        <is>
          <t>Vol/u (ft3)</t>
        </is>
      </c>
      <c r="N1" s="1" t="inlineStr">
        <is>
          <t>Vol Tot (ft3)</t>
        </is>
      </c>
      <c r="O1" s="1" t="inlineStr">
        <is>
          <t>Precio U ($)</t>
        </is>
      </c>
      <c r="P1" s="1" t="inlineStr">
        <is>
          <t>Monto ($)</t>
        </is>
      </c>
    </row>
    <row r="2">
      <c r="A2" s="2" t="n">
        <v>1</v>
      </c>
      <c r="B2" s="2" t="inlineStr">
        <is>
          <t>OT4.5-6</t>
        </is>
      </c>
      <c r="C2" s="2" t="n">
        <v>6</v>
      </c>
      <c r="D2" s="2" t="n">
        <v>4.5</v>
      </c>
      <c r="E2" s="2" t="n">
        <v>70</v>
      </c>
      <c r="F2" s="2" t="n">
        <v>48</v>
      </c>
      <c r="G2" s="2" t="n">
        <v>100</v>
      </c>
      <c r="H2" s="2" t="n">
        <v>0.68</v>
      </c>
      <c r="I2" s="2" t="n">
        <v>20</v>
      </c>
      <c r="J2" s="2" t="n">
        <v>150</v>
      </c>
      <c r="K2" s="2" t="n">
        <v>3000</v>
      </c>
      <c r="L2" s="3">
        <f>H2*K2</f>
        <v/>
      </c>
      <c r="M2" s="4" t="n">
        <v>0.0119</v>
      </c>
      <c r="N2" s="5">
        <f>M2*K2</f>
        <v/>
      </c>
      <c r="O2" s="6" t="n">
        <v>2.25</v>
      </c>
      <c r="P2" s="6">
        <f>O2*K2</f>
        <v/>
      </c>
    </row>
    <row r="3">
      <c r="A3" s="2" t="n">
        <v>2</v>
      </c>
      <c r="B3" s="2" t="inlineStr">
        <is>
          <t>OT1.3-12</t>
        </is>
      </c>
      <c r="C3" s="2" t="n">
        <v>12</v>
      </c>
      <c r="D3" s="2" t="n">
        <v>1.3</v>
      </c>
      <c r="E3" s="2" t="n">
        <v>97</v>
      </c>
      <c r="F3" s="2" t="n">
        <v>45</v>
      </c>
      <c r="G3" s="2" t="n">
        <v>53</v>
      </c>
      <c r="H3" s="2" t="n">
        <v>0.58</v>
      </c>
      <c r="I3" s="2" t="n">
        <v>20</v>
      </c>
      <c r="J3" s="2" t="n">
        <v>5</v>
      </c>
      <c r="K3" s="2" t="n">
        <v>100</v>
      </c>
      <c r="L3" s="3">
        <f>H3*K3</f>
        <v/>
      </c>
      <c r="M3" s="4" t="n">
        <v>0.008200000000000001</v>
      </c>
      <c r="N3" s="5">
        <f>M3*K3</f>
        <v/>
      </c>
      <c r="O3" s="6" t="n">
        <v>2.9</v>
      </c>
      <c r="P3" s="6">
        <f>O3*K3</f>
        <v/>
      </c>
    </row>
    <row r="4">
      <c r="A4" s="2" t="n">
        <v>3</v>
      </c>
      <c r="B4" s="2" t="inlineStr">
        <is>
          <t>OT2.2-12</t>
        </is>
      </c>
      <c r="C4" s="2" t="n">
        <v>12</v>
      </c>
      <c r="D4" s="2" t="n">
        <v>2.2</v>
      </c>
      <c r="E4" s="2" t="n">
        <v>178</v>
      </c>
      <c r="F4" s="2" t="n">
        <v>35</v>
      </c>
      <c r="G4" s="2" t="n">
        <v>61</v>
      </c>
      <c r="H4" s="2" t="n">
        <v>0.91</v>
      </c>
      <c r="I4" s="2" t="n">
        <v>20</v>
      </c>
      <c r="J4" s="2" t="n">
        <v>5</v>
      </c>
      <c r="K4" s="2" t="n">
        <v>100</v>
      </c>
      <c r="L4" s="3">
        <f>H4*K4</f>
        <v/>
      </c>
      <c r="M4" s="4" t="n">
        <v>0.0134</v>
      </c>
      <c r="N4" s="5">
        <f>M4*K4</f>
        <v/>
      </c>
      <c r="O4" s="6" t="n">
        <v>3.95</v>
      </c>
      <c r="P4" s="6">
        <f>O4*K4</f>
        <v/>
      </c>
    </row>
    <row r="5">
      <c r="A5" s="2" t="n">
        <v>4</v>
      </c>
      <c r="B5" s="2" t="inlineStr">
        <is>
          <t>OT5-12/B</t>
        </is>
      </c>
      <c r="C5" s="2" t="n">
        <v>12</v>
      </c>
      <c r="D5" s="2" t="n">
        <v>5</v>
      </c>
      <c r="E5" s="2" t="n">
        <v>90</v>
      </c>
      <c r="F5" s="2" t="n">
        <v>70</v>
      </c>
      <c r="G5" s="2" t="n">
        <v>100</v>
      </c>
      <c r="H5" s="2" t="n">
        <v>1.56</v>
      </c>
      <c r="I5" s="2" t="n">
        <v>10</v>
      </c>
      <c r="J5" s="2" t="n">
        <v>30</v>
      </c>
      <c r="K5" s="2" t="n">
        <v>300</v>
      </c>
      <c r="L5" s="3">
        <f>H5*K5</f>
        <v/>
      </c>
      <c r="M5" s="4" t="n">
        <v>0.0222</v>
      </c>
      <c r="N5" s="5">
        <f>M5*K5</f>
        <v/>
      </c>
      <c r="O5" s="6" t="n">
        <v>5.2</v>
      </c>
      <c r="P5" s="6">
        <f>O5*K5</f>
        <v/>
      </c>
    </row>
    <row r="6">
      <c r="A6" s="2" t="n">
        <v>5</v>
      </c>
      <c r="B6" s="2" t="inlineStr">
        <is>
          <t>OT6-12</t>
        </is>
      </c>
      <c r="C6" s="2" t="n">
        <v>12</v>
      </c>
      <c r="D6" s="2" t="n">
        <v>6</v>
      </c>
      <c r="E6" s="2" t="n">
        <v>151</v>
      </c>
      <c r="F6" s="2" t="n">
        <v>51</v>
      </c>
      <c r="G6" s="2" t="n">
        <v>94</v>
      </c>
      <c r="H6" s="2" t="n">
        <v>1.68</v>
      </c>
      <c r="I6" s="2" t="n">
        <v>10</v>
      </c>
      <c r="J6" s="2" t="n">
        <v>10</v>
      </c>
      <c r="K6" s="2" t="n">
        <v>100</v>
      </c>
      <c r="L6" s="3">
        <f>H6*K6</f>
        <v/>
      </c>
      <c r="M6" s="4" t="n">
        <v>0.0256</v>
      </c>
      <c r="N6" s="5">
        <f>M6*K6</f>
        <v/>
      </c>
      <c r="O6" s="6" t="n">
        <v>5.8</v>
      </c>
      <c r="P6" s="6">
        <f>O6*K6</f>
        <v/>
      </c>
    </row>
    <row r="7">
      <c r="A7" s="2" t="n">
        <v>6</v>
      </c>
      <c r="B7" s="2" t="inlineStr">
        <is>
          <t>OT9-12(GEL)/CD</t>
        </is>
      </c>
      <c r="C7" s="2" t="n">
        <v>12</v>
      </c>
      <c r="D7" s="2" t="n">
        <v>9</v>
      </c>
      <c r="E7" s="2" t="n">
        <v>151</v>
      </c>
      <c r="F7" s="2" t="n">
        <v>65</v>
      </c>
      <c r="G7" s="2" t="n">
        <v>94</v>
      </c>
      <c r="H7" s="2" t="n">
        <v>2.4</v>
      </c>
      <c r="I7" s="2" t="n">
        <v>10</v>
      </c>
      <c r="J7" s="2" t="n">
        <v>30</v>
      </c>
      <c r="K7" s="2" t="n">
        <v>300</v>
      </c>
      <c r="L7" s="3">
        <f>H7*K7</f>
        <v/>
      </c>
      <c r="M7" s="4" t="n">
        <v>0.0326</v>
      </c>
      <c r="N7" s="5">
        <f>M7*K7</f>
        <v/>
      </c>
      <c r="O7" s="6" t="n">
        <v>7.85</v>
      </c>
      <c r="P7" s="6">
        <f>O7*K7</f>
        <v/>
      </c>
    </row>
    <row r="8">
      <c r="A8" s="2" t="n">
        <v>7</v>
      </c>
      <c r="B8" s="2" t="inlineStr">
        <is>
          <t>OT12-12(GEL)/CD</t>
        </is>
      </c>
      <c r="C8" s="2" t="n">
        <v>12</v>
      </c>
      <c r="D8" s="2" t="n">
        <v>12</v>
      </c>
      <c r="E8" s="2" t="n">
        <v>151</v>
      </c>
      <c r="F8" s="2" t="n">
        <v>98</v>
      </c>
      <c r="G8" s="2" t="n">
        <v>94.5</v>
      </c>
      <c r="H8" s="2" t="n">
        <v>3.54</v>
      </c>
      <c r="I8" s="2" t="n">
        <v>4</v>
      </c>
      <c r="J8" s="2" t="n">
        <v>25</v>
      </c>
      <c r="K8" s="2" t="n">
        <v>100</v>
      </c>
      <c r="L8" s="3">
        <f>H8*K8</f>
        <v/>
      </c>
      <c r="M8" s="4" t="n">
        <v>0.0494</v>
      </c>
      <c r="N8" s="5">
        <f>M8*K8</f>
        <v/>
      </c>
      <c r="O8" s="6" t="n">
        <v>10.95</v>
      </c>
      <c r="P8" s="6">
        <f>O8*K8</f>
        <v/>
      </c>
    </row>
    <row r="9">
      <c r="A9" s="2" t="n">
        <v>8</v>
      </c>
      <c r="B9" s="2" t="inlineStr">
        <is>
          <t>OT20-12(GEL)/CD</t>
        </is>
      </c>
      <c r="C9" s="2" t="n">
        <v>12</v>
      </c>
      <c r="D9" s="2" t="n">
        <v>20</v>
      </c>
      <c r="E9" s="2" t="n">
        <v>181</v>
      </c>
      <c r="F9" s="2" t="n">
        <v>77</v>
      </c>
      <c r="G9" s="2" t="n">
        <v>167</v>
      </c>
      <c r="H9" s="2" t="n">
        <v>6.08</v>
      </c>
      <c r="I9" s="2" t="n">
        <v>4</v>
      </c>
      <c r="J9" s="2" t="n">
        <v>25</v>
      </c>
      <c r="K9" s="2" t="n">
        <v>100</v>
      </c>
      <c r="L9" s="3">
        <f>H9*K9</f>
        <v/>
      </c>
      <c r="M9" s="4" t="n">
        <v>0.0822</v>
      </c>
      <c r="N9" s="5">
        <f>M9*K9</f>
        <v/>
      </c>
      <c r="O9" s="6" t="n">
        <v>18.3</v>
      </c>
      <c r="P9" s="6">
        <f>O9*K9</f>
        <v/>
      </c>
    </row>
    <row r="10">
      <c r="A10" s="2" t="n">
        <v>9</v>
      </c>
      <c r="B10" s="2" t="inlineStr">
        <is>
          <t>OT100-12(GEL)/CD-C</t>
        </is>
      </c>
      <c r="C10" s="2" t="n">
        <v>12</v>
      </c>
      <c r="D10" s="2" t="n">
        <v>100</v>
      </c>
      <c r="E10" s="2" t="n">
        <v>330</v>
      </c>
      <c r="F10" s="2" t="n">
        <v>170</v>
      </c>
      <c r="G10" s="2" t="n">
        <v>214</v>
      </c>
      <c r="H10" s="2" t="n">
        <v>30</v>
      </c>
      <c r="I10" s="2" t="n">
        <v>1</v>
      </c>
      <c r="J10" s="2" t="n">
        <v>40</v>
      </c>
      <c r="K10" s="2" t="n">
        <v>40</v>
      </c>
      <c r="L10" s="3">
        <f>H10*K10</f>
        <v/>
      </c>
      <c r="M10" s="4" t="n">
        <v>0.424</v>
      </c>
      <c r="N10" s="5">
        <f>M10*K10</f>
        <v/>
      </c>
      <c r="O10" s="6" t="n">
        <v>87.2</v>
      </c>
      <c r="P10" s="6">
        <f>O10*K10</f>
        <v/>
      </c>
    </row>
    <row r="11">
      <c r="A11" s="2" t="n">
        <v>10</v>
      </c>
      <c r="B11" s="2" t="inlineStr">
        <is>
          <t>OT150-12(GEL)/CD</t>
        </is>
      </c>
      <c r="C11" s="2" t="n">
        <v>12</v>
      </c>
      <c r="D11" s="2" t="n">
        <v>150</v>
      </c>
      <c r="E11" s="2" t="n">
        <v>484</v>
      </c>
      <c r="F11" s="2" t="n">
        <v>170</v>
      </c>
      <c r="G11" s="2" t="n">
        <v>241</v>
      </c>
      <c r="H11" s="2" t="n">
        <v>42.5</v>
      </c>
      <c r="I11" s="2" t="n">
        <v>1</v>
      </c>
      <c r="J11" s="2" t="n">
        <v>40</v>
      </c>
      <c r="K11" s="2" t="n">
        <v>40</v>
      </c>
      <c r="L11" s="3">
        <f>H11*K11</f>
        <v/>
      </c>
      <c r="M11" s="4" t="n">
        <v>0.7003</v>
      </c>
      <c r="N11" s="5">
        <f>M11*K11</f>
        <v/>
      </c>
      <c r="O11" s="6" t="n">
        <v>117.6</v>
      </c>
      <c r="P11" s="6">
        <f>O11*K11</f>
        <v/>
      </c>
    </row>
    <row r="12">
      <c r="A12" s="2" t="n">
        <v>11</v>
      </c>
      <c r="B12" s="2" t="inlineStr">
        <is>
          <t>6-DZF-12</t>
        </is>
      </c>
      <c r="C12" s="2" t="n">
        <v>12</v>
      </c>
      <c r="D12" s="2" t="n">
        <v>12</v>
      </c>
      <c r="E12" s="2" t="n">
        <v>150</v>
      </c>
      <c r="F12" s="2" t="n">
        <v>101</v>
      </c>
      <c r="G12" s="2" t="n">
        <v>99</v>
      </c>
      <c r="H12" s="2" t="n">
        <v>4.15</v>
      </c>
      <c r="I12" s="2" t="n">
        <v>4</v>
      </c>
      <c r="J12" s="2" t="n">
        <v>15</v>
      </c>
      <c r="K12" s="2" t="n">
        <v>60</v>
      </c>
      <c r="L12" s="3">
        <f>H12*K12</f>
        <v/>
      </c>
      <c r="M12" s="4" t="n">
        <v>0.053</v>
      </c>
      <c r="N12" s="5">
        <f>M12*K12</f>
        <v/>
      </c>
      <c r="O12" s="6" t="n">
        <v>10.8</v>
      </c>
      <c r="P12" s="6">
        <f>O12*K12</f>
        <v/>
      </c>
    </row>
    <row r="13">
      <c r="A13" s="2" t="n">
        <v>12</v>
      </c>
      <c r="B13" s="2" t="inlineStr">
        <is>
          <t>6-DZF-23</t>
        </is>
      </c>
      <c r="C13" s="2" t="n">
        <v>12</v>
      </c>
      <c r="D13" s="2" t="n">
        <v>22</v>
      </c>
      <c r="E13" s="2" t="n">
        <v>180</v>
      </c>
      <c r="F13" s="2" t="n">
        <v>78</v>
      </c>
      <c r="G13" s="2" t="n">
        <v>170</v>
      </c>
      <c r="H13" s="2" t="n">
        <v>6.7</v>
      </c>
      <c r="I13" s="2" t="n">
        <v>4</v>
      </c>
      <c r="J13" s="2" t="n">
        <v>50</v>
      </c>
      <c r="K13" s="2" t="n">
        <v>200</v>
      </c>
      <c r="L13" s="3">
        <f>H13*K13</f>
        <v/>
      </c>
      <c r="M13" s="4" t="n">
        <v>0.0843</v>
      </c>
      <c r="N13" s="5">
        <f>M13*K13</f>
        <v/>
      </c>
      <c r="O13" s="6" t="n">
        <v>17.2</v>
      </c>
      <c r="P13" s="6">
        <f>O13*K13</f>
        <v/>
      </c>
    </row>
    <row r="14">
      <c r="A14" s="2" t="n">
        <v>13</v>
      </c>
      <c r="B14" s="2" t="inlineStr">
        <is>
          <t>UTX9-BS(GEL)</t>
        </is>
      </c>
      <c r="C14" s="2" t="n">
        <v>12</v>
      </c>
      <c r="D14" s="2" t="n">
        <v>9</v>
      </c>
      <c r="E14" s="2" t="n">
        <v>150</v>
      </c>
      <c r="F14" s="2" t="n">
        <v>86</v>
      </c>
      <c r="G14" s="2" t="n">
        <v>107</v>
      </c>
      <c r="H14" s="2" t="n">
        <v>2.93</v>
      </c>
      <c r="I14" s="2" t="n">
        <v>8</v>
      </c>
      <c r="J14" s="2" t="n">
        <v>10</v>
      </c>
      <c r="K14" s="2" t="n">
        <v>80</v>
      </c>
      <c r="L14" s="3">
        <f>H14*K14</f>
        <v/>
      </c>
      <c r="M14" s="4" t="n">
        <v>0.0487</v>
      </c>
      <c r="N14" s="5">
        <f>M14*K14</f>
        <v/>
      </c>
      <c r="O14" s="6" t="n">
        <v>10.2</v>
      </c>
      <c r="P14" s="6">
        <f>O14*K14</f>
        <v/>
      </c>
    </row>
    <row r="15">
      <c r="A15" s="2" t="n">
        <v>14</v>
      </c>
      <c r="B15" s="2" t="inlineStr">
        <is>
          <t>YB6.5L-BS(GEL)</t>
        </is>
      </c>
      <c r="C15" s="2" t="n">
        <v>12</v>
      </c>
      <c r="D15" s="2" t="n">
        <v>6.5</v>
      </c>
      <c r="E15" s="2" t="n">
        <v>138</v>
      </c>
      <c r="F15" s="2" t="n">
        <v>65</v>
      </c>
      <c r="G15" s="2" t="n">
        <v>100</v>
      </c>
      <c r="H15" s="2" t="n">
        <v>1.91</v>
      </c>
      <c r="I15" s="2" t="n">
        <v>10</v>
      </c>
      <c r="J15" s="2" t="n">
        <v>10</v>
      </c>
      <c r="K15" s="2" t="n">
        <v>100</v>
      </c>
      <c r="L15" s="3">
        <f>H15*K15</f>
        <v/>
      </c>
      <c r="M15" s="4" t="n">
        <v>0.0317</v>
      </c>
      <c r="N15" s="5">
        <f>M15*K15</f>
        <v/>
      </c>
      <c r="O15" s="6" t="n">
        <v>6.8</v>
      </c>
      <c r="P15" s="6">
        <f>O15*K15</f>
        <v/>
      </c>
    </row>
    <row r="16">
      <c r="A16" s="2" t="n">
        <v>15</v>
      </c>
      <c r="B16" s="2" t="inlineStr">
        <is>
          <t>YB3L-BS(GEL)</t>
        </is>
      </c>
      <c r="C16" s="2" t="n">
        <v>12</v>
      </c>
      <c r="D16" s="2" t="n">
        <v>3</v>
      </c>
      <c r="E16" s="2" t="n">
        <v>98</v>
      </c>
      <c r="F16" s="2" t="n">
        <v>56</v>
      </c>
      <c r="G16" s="2" t="n">
        <v>109</v>
      </c>
      <c r="H16" s="2" t="n">
        <v>1.19</v>
      </c>
      <c r="I16" s="2" t="n">
        <v>10</v>
      </c>
      <c r="J16" s="2" t="n">
        <v>6</v>
      </c>
      <c r="K16" s="2" t="n">
        <v>60</v>
      </c>
      <c r="L16" s="3">
        <f>H16*K16</f>
        <v/>
      </c>
      <c r="M16" s="4" t="n">
        <v>0.0211</v>
      </c>
      <c r="N16" s="5">
        <f>M16*K16</f>
        <v/>
      </c>
      <c r="O16" s="6" t="n">
        <v>4.55</v>
      </c>
      <c r="P16" s="6">
        <f>O16*K16</f>
        <v/>
      </c>
    </row>
    <row r="17">
      <c r="A17" s="2" t="n">
        <v>16</v>
      </c>
      <c r="B17" s="2" t="inlineStr">
        <is>
          <t>UTX4L-BS(GEL)</t>
        </is>
      </c>
      <c r="C17" s="2" t="n">
        <v>12</v>
      </c>
      <c r="D17" s="2" t="n">
        <v>4</v>
      </c>
      <c r="E17" s="2" t="n">
        <v>113</v>
      </c>
      <c r="F17" s="2" t="n">
        <v>70</v>
      </c>
      <c r="G17" s="2" t="n">
        <v>85</v>
      </c>
      <c r="H17" s="2" t="n">
        <v>1.3</v>
      </c>
      <c r="I17" s="2" t="n">
        <v>10</v>
      </c>
      <c r="J17" s="2" t="n">
        <v>6</v>
      </c>
      <c r="K17" s="2" t="n">
        <v>60</v>
      </c>
      <c r="L17" s="3">
        <f>H17*K17</f>
        <v/>
      </c>
      <c r="M17" s="4" t="n">
        <v>0.0237</v>
      </c>
      <c r="N17" s="5">
        <f>M17*K17</f>
        <v/>
      </c>
      <c r="O17" s="6" t="n">
        <v>5</v>
      </c>
      <c r="P17" s="6">
        <f>O17*K17</f>
        <v/>
      </c>
    </row>
    <row r="18">
      <c r="A18" s="2" t="n">
        <v>17</v>
      </c>
      <c r="B18" s="2" t="inlineStr">
        <is>
          <t>YB2.5L-BS(GEL)</t>
        </is>
      </c>
      <c r="C18" s="2" t="n">
        <v>12</v>
      </c>
      <c r="D18" s="2" t="n">
        <v>2.5</v>
      </c>
      <c r="E18" s="2" t="n">
        <v>80</v>
      </c>
      <c r="F18" s="2" t="n">
        <v>77</v>
      </c>
      <c r="G18" s="2" t="n">
        <v>105</v>
      </c>
      <c r="H18" s="2" t="n">
        <v>1.03</v>
      </c>
      <c r="I18" s="2" t="n">
        <v>20</v>
      </c>
      <c r="J18" s="2" t="n">
        <v>3</v>
      </c>
      <c r="K18" s="2" t="n">
        <v>60</v>
      </c>
      <c r="L18" s="3">
        <f>H18*K18</f>
        <v/>
      </c>
      <c r="M18" s="4" t="n">
        <v>0.0228</v>
      </c>
      <c r="N18" s="5">
        <f>M18*K18</f>
        <v/>
      </c>
      <c r="O18" s="6" t="n">
        <v>3.7</v>
      </c>
      <c r="P18" s="6">
        <f>O18*K18</f>
        <v/>
      </c>
    </row>
    <row r="19">
      <c r="A19" s="2" t="n">
        <v>19</v>
      </c>
      <c r="B19" s="2" t="inlineStr">
        <is>
          <t>UTX12-BS(MF)</t>
        </is>
      </c>
      <c r="C19" s="2" t="n">
        <v>12</v>
      </c>
      <c r="D19" s="2" t="n">
        <v>12</v>
      </c>
      <c r="E19" s="2" t="n">
        <v>150</v>
      </c>
      <c r="F19" s="2" t="n">
        <v>86</v>
      </c>
      <c r="G19" s="2" t="n">
        <v>130</v>
      </c>
      <c r="H19" s="2" t="n">
        <v>3.72</v>
      </c>
      <c r="I19" s="2" t="n">
        <v>6</v>
      </c>
      <c r="J19" s="2" t="n">
        <v>10</v>
      </c>
      <c r="K19" s="2" t="n">
        <v>60</v>
      </c>
      <c r="L19" s="3">
        <f>H19*K19</f>
        <v/>
      </c>
      <c r="M19" s="4" t="n">
        <v>0.0592</v>
      </c>
      <c r="N19" s="5">
        <f>M19*K19</f>
        <v/>
      </c>
      <c r="O19" s="6" t="n">
        <v>12.8</v>
      </c>
      <c r="P19" s="6">
        <f>O19*K19</f>
        <v/>
      </c>
    </row>
    <row r="20">
      <c r="A20" s="2" t="n">
        <v>20</v>
      </c>
      <c r="B20" s="2" t="inlineStr">
        <is>
          <t>UTH14-BS(MF)</t>
        </is>
      </c>
      <c r="C20" s="2" t="n">
        <v>12</v>
      </c>
      <c r="D20" s="2" t="n">
        <v>14</v>
      </c>
      <c r="E20" s="2" t="n">
        <v>150</v>
      </c>
      <c r="F20" s="2" t="n">
        <v>86</v>
      </c>
      <c r="G20" s="2" t="n">
        <v>145</v>
      </c>
      <c r="H20" s="2" t="n">
        <v>4.68</v>
      </c>
      <c r="I20" s="2" t="n">
        <v>6</v>
      </c>
      <c r="J20" s="2" t="n">
        <v>10</v>
      </c>
      <c r="K20" s="2" t="n">
        <v>60</v>
      </c>
      <c r="L20" s="3">
        <f>H20*K20</f>
        <v/>
      </c>
      <c r="M20" s="4" t="n">
        <v>0.06610000000000001</v>
      </c>
      <c r="N20" s="5">
        <f>M20*K20</f>
        <v/>
      </c>
      <c r="O20" s="6" t="n">
        <v>17</v>
      </c>
      <c r="P20" s="6">
        <f>O20*K20</f>
        <v/>
      </c>
    </row>
    <row r="21">
      <c r="A21" s="7" t="inlineStr"/>
      <c r="B21" s="7" t="inlineStr">
        <is>
          <t>TOTAL</t>
        </is>
      </c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>
        <f>SUM(J2:J20)</f>
        <v/>
      </c>
      <c r="K21" s="7">
        <f>SUM(K2:K20)</f>
        <v/>
      </c>
      <c r="L21" s="8">
        <f>SUM(L2:L20)</f>
        <v/>
      </c>
      <c r="M21" s="9" t="inlineStr"/>
      <c r="N21" s="10">
        <f>SUM(N2:N20)</f>
        <v/>
      </c>
      <c r="O21" s="11" t="inlineStr"/>
      <c r="P21" s="11">
        <f>SUM(P2:P20)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2" t="inlineStr">
        <is>
          <t>COMPARACION DE FLETE - Baterias OUTDO (PI 200042)</t>
        </is>
      </c>
    </row>
    <row r="3">
      <c r="A3" t="inlineStr">
        <is>
          <t>EMBARQUE ANTERIOR (referencia real)</t>
        </is>
      </c>
      <c r="B3" t="inlineStr"/>
      <c r="C3" t="inlineStr"/>
      <c r="D3" t="inlineStr">
        <is>
          <t>CARGA NUEVA (esta PI)</t>
        </is>
      </c>
    </row>
    <row r="4">
      <c r="A4" t="inlineStr">
        <is>
          <t>Factura</t>
        </is>
      </c>
      <c r="B4" t="inlineStr">
        <is>
          <t>HD2405060557 (jun-2024)</t>
        </is>
      </c>
      <c r="C4" t="inlineStr"/>
      <c r="D4" t="inlineStr">
        <is>
          <t>Volumen (con caja)</t>
        </is>
      </c>
      <c r="E4">
        <f>Baterias.N21*1.25</f>
        <v/>
      </c>
      <c r="F4" t="inlineStr">
        <is>
          <t>CBM aprox</t>
        </is>
      </c>
    </row>
    <row r="5">
      <c r="A5" t="inlineStr">
        <is>
          <t>Mercancia</t>
        </is>
      </c>
      <c r="B5" t="inlineStr">
        <is>
          <t>Baterias de moto LCL</t>
        </is>
      </c>
      <c r="C5" t="inlineStr"/>
      <c r="D5" t="inlineStr">
        <is>
          <t>Peso neto</t>
        </is>
      </c>
      <c r="E5">
        <f>Baterias.L21</f>
        <v/>
      </c>
      <c r="F5" t="inlineStr">
        <is>
          <t>kg</t>
        </is>
      </c>
    </row>
    <row r="6">
      <c r="A6" t="inlineStr">
        <is>
          <t>Volumen</t>
        </is>
      </c>
      <c r="B6" t="inlineStr">
        <is>
          <t>6.46</t>
        </is>
      </c>
      <c r="C6" t="inlineStr">
        <is>
          <t>CBM</t>
        </is>
      </c>
      <c r="D6" t="inlineStr">
        <is>
          <t>Peso bruto (+10%)</t>
        </is>
      </c>
      <c r="E6">
        <f>Baterias.L21*1.1</f>
        <v/>
      </c>
      <c r="F6" t="inlineStr">
        <is>
          <t>kg</t>
        </is>
      </c>
    </row>
    <row r="7">
      <c r="A7" t="inlineStr">
        <is>
          <t>Peso</t>
        </is>
      </c>
      <c r="B7" t="inlineStr">
        <is>
          <t>7202</t>
        </is>
      </c>
      <c r="C7" t="inlineStr">
        <is>
          <t>kg</t>
        </is>
      </c>
      <c r="D7" t="inlineStr">
        <is>
          <t>Cajas</t>
        </is>
      </c>
      <c r="E7">
        <f>Baterias.J21</f>
        <v/>
      </c>
      <c r="F7" t="inlineStr">
        <is>
          <t>ctns</t>
        </is>
      </c>
    </row>
    <row r="8">
      <c r="A8" t="inlineStr">
        <is>
          <t>Flete pagado</t>
        </is>
      </c>
      <c r="B8" t="inlineStr">
        <is>
          <t>2145</t>
        </is>
      </c>
      <c r="C8" t="inlineStr">
        <is>
          <t>USD</t>
        </is>
      </c>
      <c r="D8" t="inlineStr">
        <is>
          <t>Valor FOB</t>
        </is>
      </c>
      <c r="E8">
        <f>Baterias.P21</f>
        <v/>
      </c>
      <c r="F8" t="inlineStr">
        <is>
          <t>USD</t>
        </is>
      </c>
    </row>
    <row r="9">
      <c r="A9" t="inlineStr">
        <is>
          <t>Tarifa real</t>
        </is>
      </c>
      <c r="B9">
        <f>C8/(C7/1000)</f>
        <v/>
      </c>
      <c r="C9" t="inlineStr">
        <is>
          <t>USD/ton (W/M)</t>
        </is>
      </c>
    </row>
    <row r="11">
      <c r="A11" s="12" t="inlineStr">
        <is>
          <t>ESTIMACION FLETE CARGA NUEVA (LCL a Panama / Colon)</t>
        </is>
      </c>
    </row>
    <row r="12">
      <c r="A12" t="inlineStr">
        <is>
          <t>Peso facturable (revenue tons)</t>
        </is>
      </c>
      <c r="B12">
        <f>E6/1000</f>
        <v/>
      </c>
      <c r="C12" t="inlineStr">
        <is>
          <t>ton</t>
        </is>
      </c>
    </row>
    <row r="13">
      <c r="A13" t="inlineStr">
        <is>
          <t>Tarifa asumida 2026</t>
        </is>
      </c>
      <c r="B13" t="inlineStr">
        <is>
          <t>330</t>
        </is>
      </c>
      <c r="C13" t="inlineStr">
        <is>
          <t>USD/ton</t>
        </is>
      </c>
    </row>
    <row r="14">
      <c r="A14" t="inlineStr">
        <is>
          <t>FLETE ESTIMADO</t>
        </is>
      </c>
      <c r="B14">
        <f>B13*B14</f>
        <v/>
      </c>
      <c r="C14" t="inlineStr">
        <is>
          <t>USD</t>
        </is>
      </c>
    </row>
    <row r="15">
      <c r="A15" t="inlineStr">
        <is>
          <t>Rango probable</t>
        </is>
      </c>
      <c r="B15" t="inlineStr">
        <is>
          <t>3300 - 4200</t>
        </is>
      </c>
      <c r="C15" t="inlineStr">
        <is>
          <t>USD</t>
        </is>
      </c>
    </row>
    <row r="17">
      <c r="A17" s="12" t="inlineStr">
        <is>
          <t>QUE MODELO ENCARECE MAS EL FLETE (flete se cobra por PESO)</t>
        </is>
      </c>
    </row>
    <row r="18">
      <c r="A18" s="1" t="inlineStr">
        <is>
          <t>Modelo</t>
        </is>
      </c>
      <c r="B18" s="1" t="inlineStr">
        <is>
          <t>Peso Tot (kg)</t>
        </is>
      </c>
      <c r="C18" s="1" t="inlineStr">
        <is>
          <t>% del peso</t>
        </is>
      </c>
      <c r="D18" s="1" t="inlineStr">
        <is>
          <t>Flete asignado ($)</t>
        </is>
      </c>
      <c r="E18" s="1" t="inlineStr">
        <is>
          <t>Flete % del valor</t>
        </is>
      </c>
      <c r="F18" s="1" t="n"/>
    </row>
    <row r="19">
      <c r="A19" s="13" t="inlineStr">
        <is>
          <t>OT4.5-6</t>
        </is>
      </c>
      <c r="B19" s="13" t="n">
        <v>2040</v>
      </c>
      <c r="C19" s="13" t="n">
        <v>20.1</v>
      </c>
      <c r="D19" s="14">
        <f>C19/100*$B$15</f>
        <v/>
      </c>
      <c r="E19" s="15">
        <f>D19/6750.0</f>
        <v/>
      </c>
    </row>
    <row r="20">
      <c r="A20" s="2" t="inlineStr">
        <is>
          <t>OT150-12(GEL)/CD</t>
        </is>
      </c>
      <c r="B20" s="2" t="n">
        <v>1700</v>
      </c>
      <c r="C20" s="2" t="n">
        <v>16.8</v>
      </c>
      <c r="D20" s="16">
        <f>C20/100*$B$15</f>
        <v/>
      </c>
      <c r="E20" s="17">
        <f>D20/4704.0</f>
        <v/>
      </c>
    </row>
    <row r="21">
      <c r="A21" s="2" t="inlineStr">
        <is>
          <t>6-DZF-23</t>
        </is>
      </c>
      <c r="B21" s="2" t="n">
        <v>1340</v>
      </c>
      <c r="C21" s="2" t="n">
        <v>13.2</v>
      </c>
      <c r="D21" s="16">
        <f>C21/100*$B$15</f>
        <v/>
      </c>
      <c r="E21" s="17">
        <f>D21/3440.0</f>
        <v/>
      </c>
    </row>
    <row r="22">
      <c r="A22" s="2" t="inlineStr">
        <is>
          <t>OT100-12(GEL)/CD-C</t>
        </is>
      </c>
      <c r="B22" s="2" t="n">
        <v>1200</v>
      </c>
      <c r="C22" s="2" t="n">
        <v>11.8</v>
      </c>
      <c r="D22" s="16">
        <f>C22/100*$B$15</f>
        <v/>
      </c>
      <c r="E22" s="17">
        <f>D22/3488.0</f>
        <v/>
      </c>
    </row>
    <row r="23">
      <c r="A23" s="2" t="inlineStr">
        <is>
          <t>OT9-12(GEL)/CD</t>
        </is>
      </c>
      <c r="B23" s="2" t="n">
        <v>720</v>
      </c>
      <c r="C23" s="2" t="n">
        <v>7.1</v>
      </c>
      <c r="D23" s="16">
        <f>C23/100*$B$15</f>
        <v/>
      </c>
      <c r="E23" s="17">
        <f>D23/2355.0</f>
        <v/>
      </c>
    </row>
    <row r="24">
      <c r="A24" s="2" t="inlineStr">
        <is>
          <t>OT20-12(GEL)/CD</t>
        </is>
      </c>
      <c r="B24" s="2" t="n">
        <v>608</v>
      </c>
      <c r="C24" s="2" t="n">
        <v>6</v>
      </c>
      <c r="D24" s="16">
        <f>C24/100*$B$15</f>
        <v/>
      </c>
      <c r="E24" s="17">
        <f>D24/1830.0</f>
        <v/>
      </c>
    </row>
    <row r="25">
      <c r="A25" s="2" t="inlineStr">
        <is>
          <t>OT5-12/B</t>
        </is>
      </c>
      <c r="B25" s="2" t="n">
        <v>468</v>
      </c>
      <c r="C25" s="2" t="n">
        <v>4.6</v>
      </c>
      <c r="D25" s="16">
        <f>C25/100*$B$15</f>
        <v/>
      </c>
      <c r="E25" s="17">
        <f>D25/1560.0</f>
        <v/>
      </c>
    </row>
    <row r="26">
      <c r="A26" s="2" t="inlineStr">
        <is>
          <t>OT12-12(GEL)/CD</t>
        </is>
      </c>
      <c r="B26" s="2" t="n">
        <v>354</v>
      </c>
      <c r="C26" s="2" t="n">
        <v>3.5</v>
      </c>
      <c r="D26" s="16">
        <f>C26/100*$B$15</f>
        <v/>
      </c>
      <c r="E26" s="17">
        <f>D26/1095.0</f>
        <v/>
      </c>
    </row>
    <row r="27">
      <c r="A27" s="2" t="inlineStr">
        <is>
          <t>UTH14-BS(MF)</t>
        </is>
      </c>
      <c r="B27" s="2" t="n">
        <v>280.8</v>
      </c>
      <c r="C27" s="2" t="n">
        <v>2.8</v>
      </c>
      <c r="D27" s="16">
        <f>C27/100*$B$15</f>
        <v/>
      </c>
      <c r="E27" s="17">
        <f>D27/1020.0</f>
        <v/>
      </c>
    </row>
    <row r="28">
      <c r="A28" s="2" t="inlineStr">
        <is>
          <t>6-DZF-12</t>
        </is>
      </c>
      <c r="B28" s="2" t="n">
        <v>249</v>
      </c>
      <c r="C28" s="2" t="n">
        <v>2.5</v>
      </c>
      <c r="D28" s="16">
        <f>C28/100*$B$15</f>
        <v/>
      </c>
      <c r="E28" s="17">
        <f>D28/648.0</f>
        <v/>
      </c>
    </row>
    <row r="29">
      <c r="A29" s="2" t="inlineStr">
        <is>
          <t>UTX9-BS(GEL)</t>
        </is>
      </c>
      <c r="B29" s="2" t="n">
        <v>234.4</v>
      </c>
      <c r="C29" s="2" t="n">
        <v>2.3</v>
      </c>
      <c r="D29" s="16">
        <f>C29/100*$B$15</f>
        <v/>
      </c>
      <c r="E29" s="17">
        <f>D29/816.0</f>
        <v/>
      </c>
    </row>
    <row r="30">
      <c r="A30" s="2" t="inlineStr">
        <is>
          <t>UTX12-BS(MF)</t>
        </is>
      </c>
      <c r="B30" s="2" t="n">
        <v>223.2</v>
      </c>
      <c r="C30" s="2" t="n">
        <v>2.2</v>
      </c>
      <c r="D30" s="16">
        <f>C30/100*$B$15</f>
        <v/>
      </c>
      <c r="E30" s="17">
        <f>D30/768.0</f>
        <v/>
      </c>
    </row>
    <row r="31">
      <c r="A31" s="2" t="inlineStr">
        <is>
          <t>YB6.5L-BS(GEL)</t>
        </is>
      </c>
      <c r="B31" s="2" t="n">
        <v>191</v>
      </c>
      <c r="C31" s="2" t="n">
        <v>1.9</v>
      </c>
      <c r="D31" s="16">
        <f>C31/100*$B$15</f>
        <v/>
      </c>
      <c r="E31" s="17">
        <f>D31/680.0</f>
        <v/>
      </c>
    </row>
    <row r="32">
      <c r="A32" s="2" t="inlineStr">
        <is>
          <t>OT6-12</t>
        </is>
      </c>
      <c r="B32" s="2" t="n">
        <v>168</v>
      </c>
      <c r="C32" s="2" t="n">
        <v>1.7</v>
      </c>
      <c r="D32" s="16">
        <f>C32/100*$B$15</f>
        <v/>
      </c>
      <c r="E32" s="17">
        <f>D32/580.0</f>
        <v/>
      </c>
    </row>
    <row r="33">
      <c r="A33" s="2" t="inlineStr">
        <is>
          <t>OT2.2-12</t>
        </is>
      </c>
      <c r="B33" s="2" t="n">
        <v>91</v>
      </c>
      <c r="C33" s="2" t="n">
        <v>0.9</v>
      </c>
      <c r="D33" s="16">
        <f>C33/100*$B$15</f>
        <v/>
      </c>
      <c r="E33" s="17">
        <f>D33/395.0</f>
        <v/>
      </c>
    </row>
    <row r="34">
      <c r="A34" s="2" t="inlineStr">
        <is>
          <t>UTX4L-BS(GEL)</t>
        </is>
      </c>
      <c r="B34" s="2" t="n">
        <v>78</v>
      </c>
      <c r="C34" s="2" t="n">
        <v>0.8</v>
      </c>
      <c r="D34" s="16">
        <f>C34/100*$B$15</f>
        <v/>
      </c>
      <c r="E34" s="17">
        <f>D34/300.0</f>
        <v/>
      </c>
    </row>
    <row r="35">
      <c r="A35" s="2" t="inlineStr">
        <is>
          <t>YB3L-BS(GEL)</t>
        </is>
      </c>
      <c r="B35" s="2" t="n">
        <v>71.40000000000001</v>
      </c>
      <c r="C35" s="2" t="n">
        <v>0.7</v>
      </c>
      <c r="D35" s="16">
        <f>C35/100*$B$15</f>
        <v/>
      </c>
      <c r="E35" s="17">
        <f>D35/273.0</f>
        <v/>
      </c>
    </row>
    <row r="36">
      <c r="A36" s="2" t="inlineStr">
        <is>
          <t>YB2.5L-BS(GEL)</t>
        </is>
      </c>
      <c r="B36" s="2" t="n">
        <v>61.8</v>
      </c>
      <c r="C36" s="2" t="n">
        <v>0.6</v>
      </c>
      <c r="D36" s="16">
        <f>C36/100*$B$15</f>
        <v/>
      </c>
      <c r="E36" s="17">
        <f>D36/222.0</f>
        <v/>
      </c>
    </row>
    <row r="37">
      <c r="A37" s="2" t="inlineStr">
        <is>
          <t>OT1.3-12</t>
        </is>
      </c>
      <c r="B37" s="2" t="n">
        <v>58</v>
      </c>
      <c r="C37" s="2" t="n">
        <v>0.6</v>
      </c>
      <c r="D37" s="16">
        <f>C37/100*$B$15</f>
        <v/>
      </c>
      <c r="E37" s="17">
        <f>D37/290.0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2026-06-04T13:41:51Z</dcterms:created>
  <dcterms:modified xmlns:dcterms="http://purl.org/dc/terms/" xmlns:xsi="http://www.w3.org/2001/XMLSchema-instance" xsi:type="dcterms:W3CDTF">2026-06-04T13:41:51Z</dcterms:modified>
</cp:coreProperties>
</file>