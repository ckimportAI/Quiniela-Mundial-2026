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S$&quot;#,##0.00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10" customWidth="1" min="4" max="4"/>
    <col width="11" customWidth="1" min="5" max="5"/>
    <col width="22" customWidth="1" min="6" max="6"/>
    <col width="9" customWidth="1" min="7" max="7"/>
    <col width="9" customWidth="1" min="8" max="8"/>
    <col width="8" customWidth="1" min="9" max="9"/>
    <col width="13" customWidth="1" min="10" max="10"/>
    <col width="9" customWidth="1" min="11" max="11"/>
    <col width="14" customWidth="1" min="12" max="12"/>
  </cols>
  <sheetData>
    <row r="1">
      <c r="A1" s="1" t="inlineStr">
        <is>
          <t>PROFORMA INVOICE</t>
        </is>
      </c>
    </row>
    <row r="2">
      <c r="A2" s="2" t="inlineStr">
        <is>
          <t>SELLER:</t>
        </is>
      </c>
      <c r="B2" s="3" t="inlineStr">
        <is>
          <t>JUN U INDUSTRY CO., LIMITED</t>
        </is>
      </c>
    </row>
    <row r="3">
      <c r="A3" s="2" t="inlineStr">
        <is>
          <t>ADDRESS:</t>
        </is>
      </c>
      <c r="B3" s="3" t="inlineStr">
        <is>
          <t>FLAT/RM7 9/F NEW TREND CENTRE NO704 PRINCE EDWARD ROAD EAST SAN PO KONG KL HK</t>
        </is>
      </c>
    </row>
    <row r="4">
      <c r="A4" s="2" t="inlineStr">
        <is>
          <t>TEL/FAX:</t>
        </is>
      </c>
      <c r="B4" s="3" t="inlineStr">
        <is>
          <t>+86-595-36306650  /  +86-595-36306728</t>
        </is>
      </c>
    </row>
    <row r="5">
      <c r="A5" s="2" t="inlineStr">
        <is>
          <t>BUYER:</t>
        </is>
      </c>
      <c r="B5" s="3" t="inlineStr">
        <is>
          <t>CK Import - Urb Quinta Crespo, Caracas - +584142574977</t>
        </is>
      </c>
    </row>
    <row r="6">
      <c r="A6" s="2" t="inlineStr">
        <is>
          <t>DATE:</t>
        </is>
      </c>
      <c r="B6" s="3" t="inlineStr">
        <is>
          <t>2ND JUN, 2026</t>
        </is>
      </c>
    </row>
    <row r="7">
      <c r="A7" s="2" t="inlineStr">
        <is>
          <t>PI NO.:</t>
        </is>
      </c>
      <c r="B7" s="3" t="inlineStr">
        <is>
          <t>200042-20260602LIN</t>
        </is>
      </c>
    </row>
    <row r="8">
      <c r="A8" s="2" t="inlineStr">
        <is>
          <t>TERMS:</t>
        </is>
      </c>
      <c r="B8" s="3" t="inlineStr">
        <is>
          <t>FOB XIAMEN, CHINA</t>
        </is>
      </c>
    </row>
    <row r="10">
      <c r="A10" s="4" t="inlineStr">
        <is>
          <t>No.</t>
        </is>
      </c>
      <c r="B10" s="4" t="inlineStr">
        <is>
          <t>Outdo Model</t>
        </is>
      </c>
      <c r="C10" s="4" t="inlineStr">
        <is>
          <t>Vols (V)</t>
        </is>
      </c>
      <c r="D10" s="4" t="inlineStr">
        <is>
          <t>Std Cap (Ah)</t>
        </is>
      </c>
      <c r="E10" s="4" t="inlineStr">
        <is>
          <t>Real Cap (Ah)</t>
        </is>
      </c>
      <c r="F10" s="4" t="inlineStr">
        <is>
          <t>Dimension L*W*H*TH (mm)</t>
        </is>
      </c>
      <c r="G10" s="4" t="inlineStr">
        <is>
          <t>Terminal</t>
        </is>
      </c>
      <c r="H10" s="4" t="inlineStr">
        <is>
          <t>Unit Wt (kg)</t>
        </is>
      </c>
      <c r="I10" s="4" t="inlineStr">
        <is>
          <t>Qty/CTN</t>
        </is>
      </c>
      <c r="J10" s="4" t="inlineStr">
        <is>
          <t>Unit Price (US$)</t>
        </is>
      </c>
      <c r="K10" s="4" t="inlineStr">
        <is>
          <t>QTY (PCS)</t>
        </is>
      </c>
      <c r="L10" s="4" t="inlineStr">
        <is>
          <t>T.Amount (USD)</t>
        </is>
      </c>
    </row>
    <row r="11">
      <c r="A11" s="5" t="n">
        <v>1</v>
      </c>
      <c r="B11" s="6" t="inlineStr">
        <is>
          <t>OT4.5-6</t>
        </is>
      </c>
      <c r="C11" s="5" t="inlineStr">
        <is>
          <t>6</t>
        </is>
      </c>
      <c r="D11" s="5" t="inlineStr">
        <is>
          <t>4.50</t>
        </is>
      </c>
      <c r="E11" s="5" t="inlineStr">
        <is>
          <t>4.3~4.5</t>
        </is>
      </c>
      <c r="F11" s="5" t="inlineStr">
        <is>
          <t>70*48*100*106</t>
        </is>
      </c>
      <c r="G11" s="5" t="inlineStr">
        <is>
          <t>F1</t>
        </is>
      </c>
      <c r="H11" s="5" t="n">
        <v>0.68</v>
      </c>
      <c r="I11" s="5" t="n">
        <v>20</v>
      </c>
      <c r="J11" s="7" t="n">
        <v>2.25</v>
      </c>
      <c r="K11" s="5" t="n">
        <v>3000</v>
      </c>
      <c r="L11" s="7">
        <f>J11*K11</f>
        <v/>
      </c>
    </row>
    <row r="12">
      <c r="A12" s="5" t="n">
        <v>2</v>
      </c>
      <c r="B12" s="6" t="inlineStr">
        <is>
          <t>OT1.3-12</t>
        </is>
      </c>
      <c r="C12" s="5" t="inlineStr">
        <is>
          <t>12</t>
        </is>
      </c>
      <c r="D12" s="5" t="inlineStr">
        <is>
          <t>1.30</t>
        </is>
      </c>
      <c r="E12" s="5" t="inlineStr">
        <is>
          <t>1.4~1.5</t>
        </is>
      </c>
      <c r="F12" s="5" t="inlineStr">
        <is>
          <t>97*45*53*59</t>
        </is>
      </c>
      <c r="G12" s="5" t="inlineStr">
        <is>
          <t>F1</t>
        </is>
      </c>
      <c r="H12" s="5" t="n">
        <v>0.58</v>
      </c>
      <c r="I12" s="5" t="n">
        <v>20</v>
      </c>
      <c r="J12" s="7" t="n">
        <v>2.9</v>
      </c>
      <c r="K12" s="5" t="n">
        <v>100</v>
      </c>
      <c r="L12" s="7">
        <f>J12*K12</f>
        <v/>
      </c>
    </row>
    <row r="13">
      <c r="A13" s="5" t="n">
        <v>3</v>
      </c>
      <c r="B13" s="6" t="inlineStr">
        <is>
          <t>OT2.2-12</t>
        </is>
      </c>
      <c r="C13" s="5" t="inlineStr">
        <is>
          <t>12</t>
        </is>
      </c>
      <c r="D13" s="5" t="inlineStr">
        <is>
          <t>2.20</t>
        </is>
      </c>
      <c r="E13" s="5" t="inlineStr">
        <is>
          <t>2.40</t>
        </is>
      </c>
      <c r="F13" s="5" t="inlineStr">
        <is>
          <t>178*35*61*67</t>
        </is>
      </c>
      <c r="G13" s="5" t="inlineStr">
        <is>
          <t>F1</t>
        </is>
      </c>
      <c r="H13" s="5" t="n">
        <v>0.91</v>
      </c>
      <c r="I13" s="5" t="n">
        <v>20</v>
      </c>
      <c r="J13" s="7" t="n">
        <v>3.95</v>
      </c>
      <c r="K13" s="5" t="n">
        <v>100</v>
      </c>
      <c r="L13" s="7">
        <f>J13*K13</f>
        <v/>
      </c>
    </row>
    <row r="14">
      <c r="A14" s="5" t="n">
        <v>4</v>
      </c>
      <c r="B14" s="6" t="inlineStr">
        <is>
          <t>OT5-12/B</t>
        </is>
      </c>
      <c r="C14" s="5" t="inlineStr">
        <is>
          <t>12</t>
        </is>
      </c>
      <c r="D14" s="5" t="inlineStr">
        <is>
          <t>5.00</t>
        </is>
      </c>
      <c r="E14" s="5" t="inlineStr">
        <is>
          <t>5.10</t>
        </is>
      </c>
      <c r="F14" s="5" t="inlineStr">
        <is>
          <t>90*70*100*106</t>
        </is>
      </c>
      <c r="G14" s="5" t="inlineStr">
        <is>
          <t>F2</t>
        </is>
      </c>
      <c r="H14" s="5" t="n">
        <v>1.56</v>
      </c>
      <c r="I14" s="5" t="n">
        <v>10</v>
      </c>
      <c r="J14" s="7" t="n">
        <v>5.2</v>
      </c>
      <c r="K14" s="5" t="n">
        <v>300</v>
      </c>
      <c r="L14" s="7">
        <f>J14*K14</f>
        <v/>
      </c>
    </row>
    <row r="15">
      <c r="A15" s="5" t="n">
        <v>5</v>
      </c>
      <c r="B15" s="6" t="inlineStr">
        <is>
          <t>OT6-12</t>
        </is>
      </c>
      <c r="C15" s="5" t="inlineStr">
        <is>
          <t>12</t>
        </is>
      </c>
      <c r="D15" s="5" t="inlineStr">
        <is>
          <t>6.00</t>
        </is>
      </c>
      <c r="E15" s="5" t="inlineStr">
        <is>
          <t>6.10</t>
        </is>
      </c>
      <c r="F15" s="5" t="inlineStr">
        <is>
          <t>151*51*94*100</t>
        </is>
      </c>
      <c r="G15" s="5" t="inlineStr">
        <is>
          <t>F2</t>
        </is>
      </c>
      <c r="H15" s="5" t="n">
        <v>1.68</v>
      </c>
      <c r="I15" s="5" t="n">
        <v>10</v>
      </c>
      <c r="J15" s="7" t="n">
        <v>5.8</v>
      </c>
      <c r="K15" s="5" t="n">
        <v>100</v>
      </c>
      <c r="L15" s="7">
        <f>J15*K15</f>
        <v/>
      </c>
    </row>
    <row r="16">
      <c r="A16" s="5" t="n">
        <v>6</v>
      </c>
      <c r="B16" s="6" t="inlineStr">
        <is>
          <t>OT9-12(GEL)/CD</t>
        </is>
      </c>
      <c r="C16" s="5" t="inlineStr">
        <is>
          <t>12</t>
        </is>
      </c>
      <c r="D16" s="5" t="inlineStr">
        <is>
          <t>9.00</t>
        </is>
      </c>
      <c r="E16" s="5" t="inlineStr">
        <is>
          <t>8.6~9</t>
        </is>
      </c>
      <c r="F16" s="5" t="inlineStr">
        <is>
          <t>151*65*94*100</t>
        </is>
      </c>
      <c r="G16" s="5" t="inlineStr">
        <is>
          <t>F2</t>
        </is>
      </c>
      <c r="H16" s="5" t="n">
        <v>2.4</v>
      </c>
      <c r="I16" s="5" t="n">
        <v>10</v>
      </c>
      <c r="J16" s="7" t="n">
        <v>7.85</v>
      </c>
      <c r="K16" s="5" t="n">
        <v>300</v>
      </c>
      <c r="L16" s="7">
        <f>J16*K16</f>
        <v/>
      </c>
    </row>
    <row r="17">
      <c r="A17" s="5" t="n">
        <v>7</v>
      </c>
      <c r="B17" s="6" t="inlineStr">
        <is>
          <t>OT12-12(GEL)/CD</t>
        </is>
      </c>
      <c r="C17" s="5" t="inlineStr">
        <is>
          <t>12</t>
        </is>
      </c>
      <c r="D17" s="5" t="inlineStr">
        <is>
          <t>10.00</t>
        </is>
      </c>
      <c r="E17" s="5" t="inlineStr">
        <is>
          <t>13~13.2</t>
        </is>
      </c>
      <c r="F17" s="5" t="inlineStr">
        <is>
          <t>151*98*94.5*101</t>
        </is>
      </c>
      <c r="G17" s="5" t="inlineStr">
        <is>
          <t>F2</t>
        </is>
      </c>
      <c r="H17" s="5" t="n">
        <v>3.54</v>
      </c>
      <c r="I17" s="5" t="n">
        <v>4</v>
      </c>
      <c r="J17" s="7" t="n">
        <v>10.95</v>
      </c>
      <c r="K17" s="5" t="n">
        <v>100</v>
      </c>
      <c r="L17" s="7">
        <f>J17*K17</f>
        <v/>
      </c>
    </row>
    <row r="18">
      <c r="A18" s="5" t="n">
        <v>8</v>
      </c>
      <c r="B18" s="6" t="inlineStr">
        <is>
          <t>OT20-12(GEL)/CD</t>
        </is>
      </c>
      <c r="C18" s="5" t="inlineStr">
        <is>
          <t>12</t>
        </is>
      </c>
      <c r="D18" s="5" t="inlineStr">
        <is>
          <t>20.00</t>
        </is>
      </c>
      <c r="E18" s="5" t="inlineStr">
        <is>
          <t>22.00</t>
        </is>
      </c>
      <c r="F18" s="5" t="inlineStr">
        <is>
          <t>181*77*167*167</t>
        </is>
      </c>
      <c r="G18" s="5" t="inlineStr">
        <is>
          <t>T8-M5</t>
        </is>
      </c>
      <c r="H18" s="5" t="n">
        <v>6.08</v>
      </c>
      <c r="I18" s="5" t="n">
        <v>4</v>
      </c>
      <c r="J18" s="7" t="n">
        <v>18.3</v>
      </c>
      <c r="K18" s="5" t="n">
        <v>100</v>
      </c>
      <c r="L18" s="7">
        <f>J18*K18</f>
        <v/>
      </c>
    </row>
    <row r="19">
      <c r="A19" s="5" t="n">
        <v>9</v>
      </c>
      <c r="B19" s="6" t="inlineStr">
        <is>
          <t>OT100-12(GEL)/CD-C</t>
        </is>
      </c>
      <c r="C19" s="5" t="inlineStr">
        <is>
          <t>12</t>
        </is>
      </c>
      <c r="D19" s="5" t="inlineStr">
        <is>
          <t>100.00</t>
        </is>
      </c>
      <c r="E19" s="5" t="inlineStr">
        <is>
          <t>104~106</t>
        </is>
      </c>
      <c r="F19" s="5" t="inlineStr">
        <is>
          <t>330*170*214*219</t>
        </is>
      </c>
      <c r="G19" s="5" t="inlineStr">
        <is>
          <t>T2-M6</t>
        </is>
      </c>
      <c r="H19" s="5" t="n">
        <v>30</v>
      </c>
      <c r="I19" s="5" t="n">
        <v>1</v>
      </c>
      <c r="J19" s="7" t="n">
        <v>87.2</v>
      </c>
      <c r="K19" s="5" t="n">
        <v>40</v>
      </c>
      <c r="L19" s="7">
        <f>J19*K19</f>
        <v/>
      </c>
    </row>
    <row r="20">
      <c r="A20" s="5" t="n">
        <v>10</v>
      </c>
      <c r="B20" s="6" t="inlineStr">
        <is>
          <t>OT150-12(GEL)/CD</t>
        </is>
      </c>
      <c r="C20" s="5" t="inlineStr">
        <is>
          <t>12</t>
        </is>
      </c>
      <c r="D20" s="5" t="inlineStr">
        <is>
          <t>150.00</t>
        </is>
      </c>
      <c r="E20" s="5" t="inlineStr">
        <is>
          <t>156~159</t>
        </is>
      </c>
      <c r="F20" s="5" t="inlineStr">
        <is>
          <t>484*170*241*241</t>
        </is>
      </c>
      <c r="G20" s="5" t="inlineStr">
        <is>
          <t>T3-M8</t>
        </is>
      </c>
      <c r="H20" s="5" t="n">
        <v>42.5</v>
      </c>
      <c r="I20" s="5" t="n">
        <v>1</v>
      </c>
      <c r="J20" s="7" t="n">
        <v>117.6</v>
      </c>
      <c r="K20" s="5" t="n">
        <v>40</v>
      </c>
      <c r="L20" s="7">
        <f>J20*K20</f>
        <v/>
      </c>
    </row>
    <row r="21">
      <c r="A21" s="5" t="n">
        <v>11</v>
      </c>
      <c r="B21" s="6" t="inlineStr">
        <is>
          <t>6-DZF-12</t>
        </is>
      </c>
      <c r="C21" s="5" t="inlineStr">
        <is>
          <t>12</t>
        </is>
      </c>
      <c r="D21" s="5" t="inlineStr">
        <is>
          <t>12.00</t>
        </is>
      </c>
      <c r="E21" s="5" t="inlineStr">
        <is>
          <t>13.00</t>
        </is>
      </c>
      <c r="F21" s="5" t="inlineStr">
        <is>
          <t>150*101*99</t>
        </is>
      </c>
      <c r="G21" s="5" t="inlineStr">
        <is>
          <t>D1</t>
        </is>
      </c>
      <c r="H21" s="5" t="n">
        <v>4.15</v>
      </c>
      <c r="I21" s="5" t="n">
        <v>4</v>
      </c>
      <c r="J21" s="7" t="n">
        <v>10.8</v>
      </c>
      <c r="K21" s="5" t="n">
        <v>60</v>
      </c>
      <c r="L21" s="7">
        <f>J21*K21</f>
        <v/>
      </c>
    </row>
    <row r="22">
      <c r="A22" s="5" t="n">
        <v>12</v>
      </c>
      <c r="B22" s="6" t="inlineStr">
        <is>
          <t>6-DZF-23</t>
        </is>
      </c>
      <c r="C22" s="5" t="inlineStr">
        <is>
          <t>12</t>
        </is>
      </c>
      <c r="D22" s="5" t="inlineStr">
        <is>
          <t>12.00</t>
        </is>
      </c>
      <c r="E22" s="5" t="inlineStr">
        <is>
          <t>22.00</t>
        </is>
      </c>
      <c r="F22" s="5" t="inlineStr">
        <is>
          <t>180*78*170</t>
        </is>
      </c>
      <c r="G22" s="5" t="inlineStr">
        <is>
          <t>D2</t>
        </is>
      </c>
      <c r="H22" s="5" t="n">
        <v>6.7</v>
      </c>
      <c r="I22" s="5" t="n">
        <v>4</v>
      </c>
      <c r="J22" s="7" t="n">
        <v>17.2</v>
      </c>
      <c r="K22" s="5" t="n">
        <v>200</v>
      </c>
      <c r="L22" s="7">
        <f>J22*K22</f>
        <v/>
      </c>
    </row>
    <row r="23">
      <c r="A23" s="5" t="n">
        <v>13</v>
      </c>
      <c r="B23" s="6" t="inlineStr">
        <is>
          <t>UTX9-BS(GEL)</t>
        </is>
      </c>
      <c r="C23" s="5" t="inlineStr">
        <is>
          <t>12V</t>
        </is>
      </c>
      <c r="D23" s="5" t="inlineStr">
        <is>
          <t>9</t>
        </is>
      </c>
      <c r="E23" s="5" t="inlineStr">
        <is>
          <t>9~9.5</t>
        </is>
      </c>
      <c r="F23" s="5" t="inlineStr">
        <is>
          <t>150*86*107</t>
        </is>
      </c>
      <c r="G23" s="5" t="inlineStr">
        <is>
          <t>+ -</t>
        </is>
      </c>
      <c r="H23" s="5" t="n">
        <v>2.93</v>
      </c>
      <c r="I23" s="5" t="n">
        <v>8</v>
      </c>
      <c r="J23" s="7" t="n">
        <v>10.2</v>
      </c>
      <c r="K23" s="5" t="n">
        <v>80</v>
      </c>
      <c r="L23" s="7">
        <f>J23*K23</f>
        <v/>
      </c>
    </row>
    <row r="24">
      <c r="A24" s="5" t="n">
        <v>14</v>
      </c>
      <c r="B24" s="6" t="inlineStr">
        <is>
          <t>YB6.5L-BS(GEL)</t>
        </is>
      </c>
      <c r="C24" s="5" t="inlineStr">
        <is>
          <t>12V</t>
        </is>
      </c>
      <c r="D24" s="5" t="inlineStr">
        <is>
          <t>6.5</t>
        </is>
      </c>
      <c r="E24" s="5" t="inlineStr">
        <is>
          <t>6.5~6.8</t>
        </is>
      </c>
      <c r="F24" s="5" t="inlineStr">
        <is>
          <t>138*65*100</t>
        </is>
      </c>
      <c r="G24" s="5" t="inlineStr">
        <is>
          <t>- +</t>
        </is>
      </c>
      <c r="H24" s="5" t="n">
        <v>1.91</v>
      </c>
      <c r="I24" s="5" t="n">
        <v>10</v>
      </c>
      <c r="J24" s="7" t="n">
        <v>6.8</v>
      </c>
      <c r="K24" s="5" t="n">
        <v>100</v>
      </c>
      <c r="L24" s="7">
        <f>J24*K24</f>
        <v/>
      </c>
    </row>
    <row r="25">
      <c r="A25" s="5" t="n">
        <v>15</v>
      </c>
      <c r="B25" s="6" t="inlineStr">
        <is>
          <t>YB3L-BS(GEL)</t>
        </is>
      </c>
      <c r="C25" s="5" t="inlineStr">
        <is>
          <t>12V</t>
        </is>
      </c>
      <c r="D25" s="5" t="inlineStr">
        <is>
          <t>3</t>
        </is>
      </c>
      <c r="E25" s="5" t="inlineStr">
        <is>
          <t>3.3~3.5</t>
        </is>
      </c>
      <c r="F25" s="5" t="inlineStr">
        <is>
          <t>98*56*109</t>
        </is>
      </c>
      <c r="G25" s="5" t="inlineStr">
        <is>
          <t>- +</t>
        </is>
      </c>
      <c r="H25" s="5" t="n">
        <v>1.19</v>
      </c>
      <c r="I25" s="5" t="n">
        <v>10</v>
      </c>
      <c r="J25" s="7" t="n">
        <v>4.55</v>
      </c>
      <c r="K25" s="5" t="n">
        <v>60</v>
      </c>
      <c r="L25" s="7">
        <f>J25*K25</f>
        <v/>
      </c>
    </row>
    <row r="26">
      <c r="A26" s="5" t="n">
        <v>16</v>
      </c>
      <c r="B26" s="6" t="inlineStr">
        <is>
          <t>UTX4L-BS(GEL)</t>
        </is>
      </c>
      <c r="C26" s="5" t="inlineStr">
        <is>
          <t>12V</t>
        </is>
      </c>
      <c r="D26" s="5" t="inlineStr">
        <is>
          <t>4</t>
        </is>
      </c>
      <c r="E26" s="5" t="inlineStr">
        <is>
          <t>3.8~4</t>
        </is>
      </c>
      <c r="F26" s="5" t="inlineStr">
        <is>
          <t>113*70*85</t>
        </is>
      </c>
      <c r="G26" s="5" t="inlineStr">
        <is>
          <t>- +</t>
        </is>
      </c>
      <c r="H26" s="5" t="n">
        <v>1.3</v>
      </c>
      <c r="I26" s="5" t="n">
        <v>10</v>
      </c>
      <c r="J26" s="7" t="n">
        <v>5</v>
      </c>
      <c r="K26" s="5" t="n">
        <v>60</v>
      </c>
      <c r="L26" s="7">
        <f>J26*K26</f>
        <v/>
      </c>
    </row>
    <row r="27">
      <c r="A27" s="5" t="n">
        <v>17</v>
      </c>
      <c r="B27" s="6" t="inlineStr">
        <is>
          <t>YB2.5L-BS(GEL)</t>
        </is>
      </c>
      <c r="C27" s="5" t="inlineStr">
        <is>
          <t>12V</t>
        </is>
      </c>
      <c r="D27" s="5" t="inlineStr">
        <is>
          <t>2.5</t>
        </is>
      </c>
      <c r="E27" s="5" t="inlineStr">
        <is>
          <t>2.5~2.8</t>
        </is>
      </c>
      <c r="F27" s="5" t="inlineStr">
        <is>
          <t>80*77*105</t>
        </is>
      </c>
      <c r="G27" s="5" t="inlineStr">
        <is>
          <t>- +</t>
        </is>
      </c>
      <c r="H27" s="5" t="n">
        <v>1.03</v>
      </c>
      <c r="I27" s="5" t="n">
        <v>20</v>
      </c>
      <c r="J27" s="7" t="n">
        <v>3.7</v>
      </c>
      <c r="K27" s="5" t="n">
        <v>60</v>
      </c>
      <c r="L27" s="7">
        <f>J27*K27</f>
        <v/>
      </c>
    </row>
    <row r="28">
      <c r="A28" s="5" t="n">
        <v>19</v>
      </c>
      <c r="B28" s="6" t="inlineStr">
        <is>
          <t>UTX12-BS(MF)</t>
        </is>
      </c>
      <c r="C28" s="5" t="inlineStr">
        <is>
          <t>12V</t>
        </is>
      </c>
      <c r="D28" s="5" t="inlineStr">
        <is>
          <t>12</t>
        </is>
      </c>
      <c r="E28" s="5" t="inlineStr">
        <is>
          <t>12~12.5</t>
        </is>
      </c>
      <c r="F28" s="5" t="inlineStr">
        <is>
          <t>150*86*130</t>
        </is>
      </c>
      <c r="G28" s="5" t="inlineStr">
        <is>
          <t>+ -</t>
        </is>
      </c>
      <c r="H28" s="5" t="n">
        <v>3.72</v>
      </c>
      <c r="I28" s="5" t="n">
        <v>6</v>
      </c>
      <c r="J28" s="7" t="n">
        <v>12.8</v>
      </c>
      <c r="K28" s="5" t="n">
        <v>60</v>
      </c>
      <c r="L28" s="7">
        <f>J28*K28</f>
        <v/>
      </c>
    </row>
    <row r="29">
      <c r="A29" s="5" t="n">
        <v>20</v>
      </c>
      <c r="B29" s="6" t="inlineStr">
        <is>
          <t>UTH14-BS(MF)</t>
        </is>
      </c>
      <c r="C29" s="5" t="inlineStr">
        <is>
          <t>12V</t>
        </is>
      </c>
      <c r="D29" s="5" t="inlineStr">
        <is>
          <t>14</t>
        </is>
      </c>
      <c r="E29" s="5" t="inlineStr">
        <is>
          <t>16~16.5</t>
        </is>
      </c>
      <c r="F29" s="5" t="inlineStr">
        <is>
          <t>150*86*145</t>
        </is>
      </c>
      <c r="G29" s="5" t="inlineStr">
        <is>
          <t>+ -</t>
        </is>
      </c>
      <c r="H29" s="5" t="n">
        <v>4.68</v>
      </c>
      <c r="I29" s="5" t="n">
        <v>6</v>
      </c>
      <c r="J29" s="7" t="n">
        <v>17</v>
      </c>
      <c r="K29" s="5" t="n">
        <v>60</v>
      </c>
      <c r="L29" s="7">
        <f>J29*K29</f>
        <v/>
      </c>
    </row>
    <row r="30">
      <c r="A30" s="8" t="n"/>
      <c r="B30" s="8" t="inlineStr">
        <is>
          <t>TOTAL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>
        <f>SUM(K11:K29)</f>
        <v/>
      </c>
      <c r="L30" s="9">
        <f>SUM(L11:L29)</f>
        <v/>
      </c>
    </row>
    <row r="32">
      <c r="A32" s="10" t="inlineStr"/>
    </row>
    <row r="33">
      <c r="A33" s="2" t="inlineStr">
        <is>
          <t>TOTAL SAY: US DOLLARS THIRTY ONE THOUSAND TWO HUNDRED FOURTEEN ONLY.</t>
        </is>
      </c>
    </row>
    <row r="34">
      <c r="A34" s="10" t="inlineStr">
        <is>
          <t>DELIVERY TIME: 30 DAYS AFTER GET THE DEPOSIT.</t>
        </is>
      </c>
    </row>
    <row r="35">
      <c r="A35" s="10" t="inlineStr">
        <is>
          <t>PAYMENT TERMS: 30% DEPOSIT ADVANCE, BALANCE BE CLEAR BEFORE THE SHIPMENT.</t>
        </is>
      </c>
    </row>
    <row r="36">
      <c r="A36" s="10" t="inlineStr">
        <is>
          <t>WARRANTY: ONE YEAR FROM THE DISPATCH TIME.</t>
        </is>
      </c>
    </row>
    <row r="37">
      <c r="A37" s="10" t="inlineStr">
        <is>
          <t>FROM: XIAMEN PORT, CHINA   TO: MANZANILLO, PANAMA / La Guaira o Puerto Cabello, VENEZUELA.</t>
        </is>
      </c>
    </row>
    <row r="38">
      <c r="A38" s="10" t="inlineStr"/>
    </row>
    <row r="39">
      <c r="A39" s="2" t="inlineStr">
        <is>
          <t>BANK DETAILS:</t>
        </is>
      </c>
    </row>
    <row r="40">
      <c r="A40" s="10" t="inlineStr">
        <is>
          <t>ADVISING BANK: NANYANG COMMERCIAL BANK LIMITED - SWIFT: NYCBHKHH</t>
        </is>
      </c>
    </row>
    <row r="41">
      <c r="A41" s="10" t="inlineStr">
        <is>
          <t>ADDR: 151 DES VOEUX ROAD CENTRAL, HONG KONG</t>
        </is>
      </c>
    </row>
    <row r="42">
      <c r="A42" s="10" t="inlineStr">
        <is>
          <t>BENEFICIARY: JUN U INDUSTRY CO., LIMITED   A/C NO.: 043-488-92-17798-5</t>
        </is>
      </c>
    </row>
  </sheetData>
  <mergeCells count="19">
    <mergeCell ref="B4:L4"/>
    <mergeCell ref="A41:L41"/>
    <mergeCell ref="B7:L7"/>
    <mergeCell ref="A37:L37"/>
    <mergeCell ref="B3:L3"/>
    <mergeCell ref="A42:L42"/>
    <mergeCell ref="A33:L33"/>
    <mergeCell ref="A32:L32"/>
    <mergeCell ref="B2:L2"/>
    <mergeCell ref="A35:L35"/>
    <mergeCell ref="B8:L8"/>
    <mergeCell ref="A38:L38"/>
    <mergeCell ref="A40:L40"/>
    <mergeCell ref="A39:L39"/>
    <mergeCell ref="A34:L34"/>
    <mergeCell ref="B6:L6"/>
    <mergeCell ref="A1:L1"/>
    <mergeCell ref="B5:L5"/>
    <mergeCell ref="A36:L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2026-06-05T20:02:26Z</dcterms:created>
  <dcterms:modified xmlns:dcterms="http://purl.org/dc/terms/" xmlns:xsi="http://www.w3.org/2001/XMLSchema-instance" xsi:type="dcterms:W3CDTF">2026-06-05T20:02:26Z</dcterms:modified>
</cp:coreProperties>
</file>