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te Pedido Ci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i val="1"/>
      <sz val="9"/>
    </font>
    <font>
      <name val="Arial"/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7" customWidth="1" min="3" max="3"/>
    <col width="14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PEDIDO CISCO - VOLUMEN (ft3) Y PESO PARA FLETE</t>
        </is>
      </c>
    </row>
    <row r="3">
      <c r="A3" s="2" t="inlineStr">
        <is>
          <t>Categoria</t>
        </is>
      </c>
      <c r="B3" s="2" t="inlineStr">
        <is>
          <t>Equipo / Modelo</t>
        </is>
      </c>
      <c r="C3" s="2" t="inlineStr">
        <is>
          <t>Cant.</t>
        </is>
      </c>
      <c r="D3" s="2" t="inlineStr">
        <is>
          <t>ft3 (con caja)</t>
        </is>
      </c>
      <c r="E3" s="2" t="inlineStr">
        <is>
          <t>Peso (kg)</t>
        </is>
      </c>
      <c r="F3" s="2" t="inlineStr">
        <is>
          <t>Peso (lb)</t>
        </is>
      </c>
      <c r="G3" s="2" t="inlineStr">
        <is>
          <t>Estado</t>
        </is>
      </c>
    </row>
    <row r="4">
      <c r="A4" s="3" t="inlineStr">
        <is>
          <t>Switch</t>
        </is>
      </c>
      <c r="B4" s="4" t="inlineStr">
        <is>
          <t>C9300X-24Y-A</t>
        </is>
      </c>
      <c r="C4" s="3" t="n">
        <v>2</v>
      </c>
      <c r="D4" s="5" t="n">
        <v>0.8</v>
      </c>
      <c r="E4" s="6" t="n">
        <v>21</v>
      </c>
      <c r="F4" s="6">
        <f>E4*2.20462</f>
        <v/>
      </c>
      <c r="G4" s="3" t="inlineStr">
        <is>
          <t>Confirmado</t>
        </is>
      </c>
    </row>
    <row r="5">
      <c r="A5" s="3" t="inlineStr">
        <is>
          <t>Switch</t>
        </is>
      </c>
      <c r="B5" s="4" t="inlineStr">
        <is>
          <t>C1200-24P-4X</t>
        </is>
      </c>
      <c r="C5" s="3" t="n">
        <v>7</v>
      </c>
      <c r="D5" s="5" t="n">
        <v>1.88</v>
      </c>
      <c r="E5" s="6" t="n">
        <v>25.8</v>
      </c>
      <c r="F5" s="6">
        <f>E5*2.20462</f>
        <v/>
      </c>
      <c r="G5" s="3" t="inlineStr">
        <is>
          <t>Confirmado</t>
        </is>
      </c>
    </row>
    <row r="6">
      <c r="A6" s="3" t="inlineStr">
        <is>
          <t>Switch</t>
        </is>
      </c>
      <c r="B6" s="4" t="inlineStr">
        <is>
          <t>C1200-48P-4X</t>
        </is>
      </c>
      <c r="C6" s="3" t="n">
        <v>9</v>
      </c>
      <c r="D6" s="5" t="n">
        <v>2.83</v>
      </c>
      <c r="E6" s="6" t="n">
        <v>48.9</v>
      </c>
      <c r="F6" s="6">
        <f>E6*2.20462</f>
        <v/>
      </c>
      <c r="G6" s="3" t="inlineStr">
        <is>
          <t>Confirmado</t>
        </is>
      </c>
    </row>
    <row r="7">
      <c r="A7" s="3" t="inlineStr">
        <is>
          <t>Licencia</t>
        </is>
      </c>
      <c r="B7" s="4" t="inlineStr">
        <is>
          <t>DNA C9300-DNA-A-24-3Y</t>
        </is>
      </c>
      <c r="C7" s="3" t="n">
        <v>2</v>
      </c>
      <c r="D7" s="5" t="n">
        <v>0</v>
      </c>
      <c r="E7" s="6" t="n">
        <v>0</v>
      </c>
      <c r="F7" s="6">
        <f>E7*2.20462</f>
        <v/>
      </c>
      <c r="G7" s="3" t="inlineStr">
        <is>
          <t>Confirmado</t>
        </is>
      </c>
    </row>
    <row r="8">
      <c r="A8" s="3" t="inlineStr">
        <is>
          <t>Licencia</t>
        </is>
      </c>
      <c r="B8" s="4" t="inlineStr">
        <is>
          <t>Network Advantage</t>
        </is>
      </c>
      <c r="C8" s="3" t="n">
        <v>2</v>
      </c>
      <c r="D8" s="5" t="n">
        <v>0</v>
      </c>
      <c r="E8" s="6" t="n">
        <v>0</v>
      </c>
      <c r="F8" s="6">
        <f>E8*2.20462</f>
        <v/>
      </c>
      <c r="G8" s="3" t="inlineStr">
        <is>
          <t>Confirmado</t>
        </is>
      </c>
    </row>
    <row r="9">
      <c r="A9" s="7" t="inlineStr">
        <is>
          <t>Firewall</t>
        </is>
      </c>
      <c r="B9" s="8" t="inlineStr">
        <is>
          <t>Netgate 6100 MAX</t>
        </is>
      </c>
      <c r="C9" s="7" t="n">
        <v>1</v>
      </c>
      <c r="D9" s="9" t="n">
        <v>0.15</v>
      </c>
      <c r="E9" s="10" t="n">
        <v>2</v>
      </c>
      <c r="F9" s="10">
        <f>E9*2.20462</f>
        <v/>
      </c>
      <c r="G9" s="7" t="inlineStr">
        <is>
          <t>Estimado</t>
        </is>
      </c>
    </row>
    <row r="10">
      <c r="A10" s="7" t="inlineStr">
        <is>
          <t>Cable</t>
        </is>
      </c>
      <c r="B10" s="8" t="inlineStr">
        <is>
          <t>STACK-T1-3M (stacking)</t>
        </is>
      </c>
      <c r="C10" s="7" t="n">
        <v>2</v>
      </c>
      <c r="D10" s="9" t="n">
        <v>0.1</v>
      </c>
      <c r="E10" s="10" t="n">
        <v>1</v>
      </c>
      <c r="F10" s="10">
        <f>E10*2.20462</f>
        <v/>
      </c>
      <c r="G10" s="7" t="inlineStr">
        <is>
          <t>Estimado</t>
        </is>
      </c>
    </row>
    <row r="11">
      <c r="A11" s="7" t="inlineStr">
        <is>
          <t>Cable</t>
        </is>
      </c>
      <c r="B11" s="8" t="inlineStr">
        <is>
          <t>GTEK SFP+ DAC Twinax</t>
        </is>
      </c>
      <c r="C11" s="7" t="n">
        <v>4</v>
      </c>
      <c r="D11" s="9" t="n">
        <v>0.1</v>
      </c>
      <c r="E11" s="10" t="n">
        <v>1</v>
      </c>
      <c r="F11" s="10">
        <f>E11*2.20462</f>
        <v/>
      </c>
      <c r="G11" s="7" t="inlineStr">
        <is>
          <t>Estimado</t>
        </is>
      </c>
    </row>
    <row r="12">
      <c r="A12" s="7" t="inlineStr">
        <is>
          <t>Transceiver</t>
        </is>
      </c>
      <c r="B12" s="8" t="inlineStr">
        <is>
          <t>Cisco GLC-SX-MM-RGD</t>
        </is>
      </c>
      <c r="C12" s="7" t="n">
        <v>40</v>
      </c>
      <c r="D12" s="9" t="n">
        <v>0.3</v>
      </c>
      <c r="E12" s="10" t="n">
        <v>1.5</v>
      </c>
      <c r="F12" s="10">
        <f>E12*2.20462</f>
        <v/>
      </c>
      <c r="G12" s="7" t="inlineStr">
        <is>
          <t>Estimado</t>
        </is>
      </c>
    </row>
    <row r="13">
      <c r="A13" s="7" t="inlineStr">
        <is>
          <t>Transceiver</t>
        </is>
      </c>
      <c r="B13" s="8" t="inlineStr">
        <is>
          <t>Cisco SFP-10G-SR-S</t>
        </is>
      </c>
      <c r="C13" s="7" t="n">
        <v>48</v>
      </c>
      <c r="D13" s="9" t="n">
        <v>0.4</v>
      </c>
      <c r="E13" s="10" t="n">
        <v>1.5</v>
      </c>
      <c r="F13" s="10">
        <f>E13*2.20462</f>
        <v/>
      </c>
      <c r="G13" s="7" t="inlineStr">
        <is>
          <t>Estimado</t>
        </is>
      </c>
    </row>
    <row r="14">
      <c r="A14" s="7" t="inlineStr">
        <is>
          <t>Patch Cord</t>
        </is>
      </c>
      <c r="B14" s="8" t="inlineStr">
        <is>
          <t>Fibra LC-LC 1M</t>
        </is>
      </c>
      <c r="C14" s="7" t="n">
        <v>100</v>
      </c>
      <c r="D14" s="9" t="n">
        <v>1</v>
      </c>
      <c r="E14" s="10" t="n">
        <v>5</v>
      </c>
      <c r="F14" s="10">
        <f>E14*2.20462</f>
        <v/>
      </c>
      <c r="G14" s="7" t="inlineStr">
        <is>
          <t>Estimado</t>
        </is>
      </c>
    </row>
    <row r="15">
      <c r="A15" s="7" t="inlineStr">
        <is>
          <t>Fibra</t>
        </is>
      </c>
      <c r="B15" s="8" t="inlineStr">
        <is>
          <t>Carrete 6F OM3 300m</t>
        </is>
      </c>
      <c r="C15" s="7" t="n">
        <v>2</v>
      </c>
      <c r="D15" s="9" t="n">
        <v>5.56</v>
      </c>
      <c r="E15" s="10" t="n">
        <v>18.1</v>
      </c>
      <c r="F15" s="10">
        <f>E15*2.20462</f>
        <v/>
      </c>
      <c r="G15" s="7" t="inlineStr">
        <is>
          <t>Estimado</t>
        </is>
      </c>
    </row>
    <row r="16">
      <c r="A16" s="7" t="inlineStr">
        <is>
          <t>Cierres</t>
        </is>
      </c>
      <c r="B16" s="8" t="inlineStr">
        <is>
          <t>Velcro ONE-WRAP</t>
        </is>
      </c>
      <c r="C16" s="7" t="n">
        <v>15</v>
      </c>
      <c r="D16" s="9" t="n">
        <v>0.75</v>
      </c>
      <c r="E16" s="10" t="n">
        <v>3</v>
      </c>
      <c r="F16" s="10">
        <f>E16*2.20462</f>
        <v/>
      </c>
      <c r="G16" s="7" t="inlineStr">
        <is>
          <t>Estimado</t>
        </is>
      </c>
    </row>
    <row r="17">
      <c r="A17" s="11" t="n"/>
      <c r="B17" s="12" t="inlineStr">
        <is>
          <t>TOTAL PEDIDO CISCO</t>
        </is>
      </c>
      <c r="C17" s="11">
        <f>SUM(C4:C16)</f>
        <v/>
      </c>
      <c r="D17" s="13">
        <f>SUM(D4:D16)</f>
        <v/>
      </c>
      <c r="E17" s="14">
        <f>SUM(E4:E16)</f>
        <v/>
      </c>
      <c r="F17" s="14">
        <f>SUM(F4:F16)</f>
        <v/>
      </c>
      <c r="G17" s="11" t="n"/>
    </row>
    <row r="19">
      <c r="B19" s="15" t="inlineStr">
        <is>
          <t>Volumen total en CBM (m3):</t>
        </is>
      </c>
      <c r="D19" s="16">
        <f>D17/35.3147</f>
        <v/>
      </c>
    </row>
    <row r="21">
      <c r="A21" s="17" t="inlineStr"/>
    </row>
    <row r="22">
      <c r="A22" s="18" t="inlineStr">
        <is>
          <t>NOTAS:</t>
        </is>
      </c>
    </row>
    <row r="23">
      <c r="A23" s="17" t="inlineStr">
        <is>
          <t>- Amarillo = ESTIMADO (accesorios pequenos y firewall; medidas exactas las confirma el dealer).</t>
        </is>
      </c>
    </row>
    <row r="24">
      <c r="A24" s="17" t="inlineStr">
        <is>
          <t>- Switches y pesos: CONFIRMADOS con datasheets Cisco.</t>
        </is>
      </c>
    </row>
    <row r="25">
      <c r="A25" s="17" t="inlineStr">
        <is>
          <t>- Licencias: sin peso/volumen (software).</t>
        </is>
      </c>
    </row>
    <row r="26">
      <c r="A26" s="17" t="inlineStr">
        <is>
          <t>- Fibra: carrete estimado ~20x20x12 in, ~20 lb c/u.</t>
        </is>
      </c>
    </row>
    <row r="27">
      <c r="A27" s="17" t="inlineStr">
        <is>
          <t>- NO incluye UPS (cantidad sin confirmar). Cada UPS CDP UPO11-1 ~0.33 ft3 / 9.8 kg.</t>
        </is>
      </c>
    </row>
  </sheetData>
  <mergeCells count="8">
    <mergeCell ref="A1:G1"/>
    <mergeCell ref="A27:G27"/>
    <mergeCell ref="A21:G21"/>
    <mergeCell ref="A22:G22"/>
    <mergeCell ref="A26:G26"/>
    <mergeCell ref="A24:G24"/>
    <mergeCell ref="A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2026-06-09T19:01:13Z</dcterms:created>
  <dcterms:modified xmlns:dcterms="http://purl.org/dc/terms/" xmlns:xsi="http://www.w3.org/2001/XMLSchema-instance" xsi:type="dcterms:W3CDTF">2026-06-09T19:01:13Z</dcterms:modified>
</cp:coreProperties>
</file>